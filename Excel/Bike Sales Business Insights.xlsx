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CN\SQL\CN_mysql\Bicycle Sales\sql_analysis\"/>
    </mc:Choice>
  </mc:AlternateContent>
  <xr:revisionPtr revIDLastSave="0" documentId="13_ncr:1_{E0AE08A6-D57A-42F2-8EA8-1CA80F99F01C}" xr6:coauthVersionLast="47" xr6:coauthVersionMax="47" xr10:uidLastSave="{00000000-0000-0000-0000-000000000000}"/>
  <bookViews>
    <workbookView xWindow="-110" yWindow="-110" windowWidth="19420" windowHeight="11020" activeTab="3" xr2:uid="{00000000-000D-0000-FFFF-FFFF00000000}"/>
  </bookViews>
  <sheets>
    <sheet name="Tables for Analysis" sheetId="1" r:id="rId1"/>
    <sheet name="Sheet1" sheetId="4" state="hidden" r:id="rId2"/>
    <sheet name="Calculations" sheetId="2" r:id="rId3"/>
    <sheet name="Dashboard" sheetId="3" r:id="rId4"/>
  </sheets>
  <definedNames>
    <definedName name="_xlnm._FilterDatabase" localSheetId="0" hidden="1">'Tables for Analysis'!$C$230:$M$230</definedName>
    <definedName name="_xlcn.WorksheetConnection_BikeSalesBusinessInsights.xlsxCateory1" hidden="1">Cateory[]</definedName>
    <definedName name="_xlcn.WorksheetConnection_BikeSalesBusinessInsights.xlsxModel_wise_Sales1" hidden="1">Model_wise_Sales[]</definedName>
    <definedName name="_xlcn.WorksheetConnection_BikeSalesBusinessInsights.xlsxMOM_Sales1" hidden="1">MOM_Sales[]</definedName>
    <definedName name="_xlcn.WorksheetConnection_BikeSalesBusinessInsights.xlsxTerritorySales1" hidden="1">TerritorySales[]</definedName>
    <definedName name="_xlcn.WorksheetConnection_BikeSalesBusinessInsights.xlsxYear1" hidden="1">Year[]</definedName>
    <definedName name="_xlcn.WorksheetConnection_BikeSalesBusinessInsights.xlsxyoy_category1" hidden="1">yoy_category[]</definedName>
    <definedName name="cost">Calculations!$F$22</definedName>
    <definedName name="profit">Calculations!$F$23</definedName>
    <definedName name="quant">Calculations!$F$20</definedName>
    <definedName name="Quantity">Calculations!$B$20</definedName>
    <definedName name="rev">Calculations!$F$21</definedName>
    <definedName name="Sales">Calculations!$B$21</definedName>
    <definedName name="Slicer_Category">#N/A</definedName>
    <definedName name="Slicer_Quarter1">#N/A</definedName>
    <definedName name="Slicer_Year1">#N/A</definedName>
    <definedName name="YOY15_16">Calculations!$G$19</definedName>
    <definedName name="YOY16_17">Calculations!$H$19</definedName>
    <definedName name="YOYC15_16">Calculations!$G$22</definedName>
    <definedName name="YOYC16_17">Calculations!$H$22</definedName>
    <definedName name="YOYP15_16">Calculations!$G$23</definedName>
    <definedName name="YOYP16_17">Calculations!$H$23</definedName>
    <definedName name="YOYQ15_16">Calculations!$G$20</definedName>
    <definedName name="YOYQ16_17">Calculations!$H$20</definedName>
    <definedName name="YOYS15_16">Calculations!$G$21</definedName>
    <definedName name="YOYS16_17">Calculations!$H$21</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s>
  <extLst>
    <ext xmlns:x14="http://schemas.microsoft.com/office/spreadsheetml/2009/9/main" uri="{876F7934-8845-4945-9796-88D515C7AA90}">
      <x14:pivotCaches>
        <pivotCache cacheId="24" r:id="rId29"/>
        <pivotCache cacheId="25" r:id="rId30"/>
      </x14:pivotCaches>
    </ex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oy_category" name="yoy_category" connection="WorksheetConnection_Bike Sales Business Insights.xlsx!yoy_category"/>
          <x15:modelTable id="Year" name="Year" connection="WorksheetConnection_Bike Sales Business Insights.xlsx!Year"/>
          <x15:modelTable id="TerritorySales" name="TerritorySales" connection="WorksheetConnection_Bike Sales Business Insights.xlsx!TerritorySales"/>
          <x15:modelTable id="MOM_Sales" name="MOM_Sales" connection="WorksheetConnection_Bike Sales Business Insights.xlsx!MOM_Sales"/>
          <x15:modelTable id="Model_wise_Sales" name="Model_wise_Sales" connection="WorksheetConnection_Bike Sales Business Insights.xlsx!Model_wise_Sales"/>
          <x15:modelTable id="Cateory" name="Cateory" connection="WorksheetConnection_Bike Sales Business Insights.xlsx!Cateory"/>
        </x15:modelTables>
        <x15:modelRelationships>
          <x15:modelRelationship fromTable="Model_wise_Sales" fromColumn="Year" toTable="Year" toColumn="Year"/>
          <x15:modelRelationship fromTable="Model_wise_Sales" fromColumn="CategoryName" toTable="Cateory" toColumn="Category"/>
          <x15:modelRelationship fromTable="MOM_Sales" fromColumn="Year" toTable="Year" toColumn="Year"/>
          <x15:modelRelationship fromTable="TerritorySales" fromColumn="Year" toTable="Year" toColumn="Year"/>
          <x15:modelRelationship fromTable="TerritorySales" fromColumn="Category" toTable="Cateory" toColumn="Category"/>
          <x15:modelRelationship fromTable="yoy_category" fromColumn="Year" toTable="Year" toColumn="Year"/>
          <x15:modelRelationship fromTable="yoy_category" fromColumn="CategoryName" toTable="Cate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5" i="1" l="1"/>
  <c r="I505" i="1"/>
  <c r="H505" i="1"/>
  <c r="G505" i="1"/>
  <c r="F505" i="1"/>
  <c r="H489" i="1"/>
  <c r="G489" i="1"/>
  <c r="F489" i="1"/>
  <c r="K484" i="1"/>
  <c r="F22" i="2"/>
  <c r="D20" i="2"/>
  <c r="D22" i="2"/>
  <c r="C23" i="2"/>
  <c r="C22" i="2"/>
  <c r="F21" i="2"/>
  <c r="F20" i="2"/>
  <c r="C20" i="2"/>
  <c r="E22" i="2"/>
  <c r="D21" i="2"/>
  <c r="E23" i="2"/>
  <c r="D23" i="2"/>
  <c r="E20" i="2"/>
  <c r="F23" i="2"/>
  <c r="C21" i="2"/>
  <c r="E21" i="2"/>
  <c r="I20" i="2" l="1" a="1"/>
  <c r="I20" i="2" s="1"/>
  <c r="I22" i="2" a="1"/>
  <c r="I22" i="2" s="1"/>
  <c r="G20" i="2" a="1"/>
  <c r="G20" i="2" s="1"/>
  <c r="G22" i="2" a="1"/>
  <c r="G22" i="2" s="1"/>
  <c r="I21" i="2" a="1"/>
  <c r="I21" i="2" s="1"/>
  <c r="I23" i="2" a="1"/>
  <c r="I23" i="2" s="1"/>
  <c r="H20" i="2"/>
  <c r="H22" i="2"/>
  <c r="G21" i="2" a="1"/>
  <c r="G21" i="2" s="1"/>
  <c r="G23" i="2" a="1"/>
  <c r="G23" i="2" s="1"/>
  <c r="H21" i="2"/>
  <c r="H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704E47-CFC2-493F-943C-464A4CC343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08C701-2FF4-4E1D-A1D5-66B1EC155190}" name="WorksheetConnection_Bike Sales Business Insights.xlsx!Cateory" type="102" refreshedVersion="8" minRefreshableVersion="5">
    <extLst>
      <ext xmlns:x15="http://schemas.microsoft.com/office/spreadsheetml/2010/11/main" uri="{DE250136-89BD-433C-8126-D09CA5730AF9}">
        <x15:connection id="Cateory">
          <x15:rangePr sourceName="_xlcn.WorksheetConnection_BikeSalesBusinessInsights.xlsxCateory1"/>
        </x15:connection>
      </ext>
    </extLst>
  </connection>
  <connection id="3" xr16:uid="{F2A52447-A2C2-4915-86FE-37AD2CE09858}" name="WorksheetConnection_Bike Sales Business Insights.xlsx!Model_wise_Sales" type="102" refreshedVersion="8" minRefreshableVersion="5">
    <extLst>
      <ext xmlns:x15="http://schemas.microsoft.com/office/spreadsheetml/2010/11/main" uri="{DE250136-89BD-433C-8126-D09CA5730AF9}">
        <x15:connection id="Model_wise_Sales">
          <x15:rangePr sourceName="_xlcn.WorksheetConnection_BikeSalesBusinessInsights.xlsxModel_wise_Sales1"/>
        </x15:connection>
      </ext>
    </extLst>
  </connection>
  <connection id="4" xr16:uid="{8B5F8C2D-5832-4A88-97DF-65E6CF1C924D}" name="WorksheetConnection_Bike Sales Business Insights.xlsx!MOM_Sales" type="102" refreshedVersion="8" minRefreshableVersion="5">
    <extLst>
      <ext xmlns:x15="http://schemas.microsoft.com/office/spreadsheetml/2010/11/main" uri="{DE250136-89BD-433C-8126-D09CA5730AF9}">
        <x15:connection id="MOM_Sales">
          <x15:rangePr sourceName="_xlcn.WorksheetConnection_BikeSalesBusinessInsights.xlsxMOM_Sales1"/>
        </x15:connection>
      </ext>
    </extLst>
  </connection>
  <connection id="5" xr16:uid="{ED42C8A1-75E6-4F88-9D74-8F4203BA8BF0}" name="WorksheetConnection_Bike Sales Business Insights.xlsx!TerritorySales" type="102" refreshedVersion="8" minRefreshableVersion="5">
    <extLst>
      <ext xmlns:x15="http://schemas.microsoft.com/office/spreadsheetml/2010/11/main" uri="{DE250136-89BD-433C-8126-D09CA5730AF9}">
        <x15:connection id="TerritorySales">
          <x15:rangePr sourceName="_xlcn.WorksheetConnection_BikeSalesBusinessInsights.xlsxTerritorySales1"/>
        </x15:connection>
      </ext>
    </extLst>
  </connection>
  <connection id="6" xr16:uid="{80BF6AA2-3C04-4C60-8E72-15E2B82CD314}" name="WorksheetConnection_Bike Sales Business Insights.xlsx!Year" type="102" refreshedVersion="8" minRefreshableVersion="5">
    <extLst>
      <ext xmlns:x15="http://schemas.microsoft.com/office/spreadsheetml/2010/11/main" uri="{DE250136-89BD-433C-8126-D09CA5730AF9}">
        <x15:connection id="Year">
          <x15:rangePr sourceName="_xlcn.WorksheetConnection_BikeSalesBusinessInsights.xlsxYear1"/>
        </x15:connection>
      </ext>
    </extLst>
  </connection>
  <connection id="7" xr16:uid="{F549FA14-8863-434B-B0F8-36EF5B625756}" name="WorksheetConnection_Bike Sales Business Insights.xlsx!yoy_category" type="102" refreshedVersion="8" minRefreshableVersion="5">
    <extLst>
      <ext xmlns:x15="http://schemas.microsoft.com/office/spreadsheetml/2010/11/main" uri="{DE250136-89BD-433C-8126-D09CA5730AF9}">
        <x15:connection id="yoy_category">
          <x15:rangePr sourceName="_xlcn.WorksheetConnection_BikeSalesBusinessInsights.xlsxyoy_categor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<sst xmlns="http://schemas.openxmlformats.org/spreadsheetml/2006/main" count="1661" uniqueCount="283">
  <si>
    <t>Year</t>
  </si>
  <si>
    <t>Categories</t>
  </si>
  <si>
    <t>Bikes</t>
  </si>
  <si>
    <t>Accessories</t>
  </si>
  <si>
    <t>Clothings</t>
  </si>
  <si>
    <t>Road-150 Red, 48</t>
  </si>
  <si>
    <t>Road Bikes</t>
  </si>
  <si>
    <t>Road-150 Red, 52</t>
  </si>
  <si>
    <t>Road-150 Red, 62</t>
  </si>
  <si>
    <t>Road-150 Red, 56</t>
  </si>
  <si>
    <t>Road-150 Red, 44</t>
  </si>
  <si>
    <t>Water Bottle - 30 oz.</t>
  </si>
  <si>
    <t>Bottles and Cages</t>
  </si>
  <si>
    <t>Patch Kit/8 Patches</t>
  </si>
  <si>
    <t>Tires and Tubes</t>
  </si>
  <si>
    <t>Sport-100 Helmet, Red</t>
  </si>
  <si>
    <t>Helmets</t>
  </si>
  <si>
    <t>Sport-100 Helmet, Black</t>
  </si>
  <si>
    <t>Sport-100 Helmet, Blue</t>
  </si>
  <si>
    <t>AWC Logo Cap</t>
  </si>
  <si>
    <t>Caps</t>
  </si>
  <si>
    <t>Clothing</t>
  </si>
  <si>
    <t>ProductKey</t>
  </si>
  <si>
    <t>ProductName</t>
  </si>
  <si>
    <t>SubcategoryName</t>
  </si>
  <si>
    <t>CategoryName</t>
  </si>
  <si>
    <t>ProductPrice</t>
  </si>
  <si>
    <t>Quantity Sold</t>
  </si>
  <si>
    <t>N/A</t>
  </si>
  <si>
    <t>Repeat Customers
from 2015 to both 2016 and 2017</t>
  </si>
  <si>
    <t>Repeat Customers
from 2015 to either 2016 or 2017</t>
  </si>
  <si>
    <t>298 (3.7%)</t>
  </si>
  <si>
    <t>Churn rate</t>
  </si>
  <si>
    <t>2016 to 2017</t>
  </si>
  <si>
    <t>2015 to 
2016 - 17</t>
  </si>
  <si>
    <t>Category</t>
  </si>
  <si>
    <t>Bike</t>
  </si>
  <si>
    <t>2015-2016</t>
  </si>
  <si>
    <t>2016-2017</t>
  </si>
  <si>
    <t>N/A (Category introduced)</t>
  </si>
  <si>
    <t>Y-o-Y Growth from
Repeat Customers</t>
  </si>
  <si>
    <t>Total 
Unique
Customers</t>
  </si>
  <si>
    <t>1204 (45.8%)</t>
  </si>
  <si>
    <t>1556 (58.8%)</t>
  </si>
  <si>
    <t>M-o-M Sales Trend</t>
  </si>
  <si>
    <t>Month</t>
  </si>
  <si>
    <t>Total Revenue</t>
  </si>
  <si>
    <t>Quarter</t>
  </si>
  <si>
    <t>ModelName</t>
  </si>
  <si>
    <t>ProductColor</t>
  </si>
  <si>
    <t>OrderQuantity</t>
  </si>
  <si>
    <t>ReturnQuantity</t>
  </si>
  <si>
    <t>Ret_to_Ord_Ratio</t>
  </si>
  <si>
    <t>Road-150</t>
  </si>
  <si>
    <t>Red</t>
  </si>
  <si>
    <t>Road-250</t>
  </si>
  <si>
    <t>Black</t>
  </si>
  <si>
    <t>Road-650</t>
  </si>
  <si>
    <t>Mountain-200</t>
  </si>
  <si>
    <t>Silver</t>
  </si>
  <si>
    <t>Mountain Bikes</t>
  </si>
  <si>
    <t>Mountain-100</t>
  </si>
  <si>
    <t>Road-550-W</t>
  </si>
  <si>
    <t>Yellow</t>
  </si>
  <si>
    <t>Water Bottle</t>
  </si>
  <si>
    <t>Mountain Tire Tube</t>
  </si>
  <si>
    <t>Mountain Bottle Cage</t>
  </si>
  <si>
    <t>Patch kit</t>
  </si>
  <si>
    <t>Road Tire Tube</t>
  </si>
  <si>
    <t>Sport-100</t>
  </si>
  <si>
    <t>Blue</t>
  </si>
  <si>
    <t>Long-Sleeve Logo Jersey</t>
  </si>
  <si>
    <t>Multi</t>
  </si>
  <si>
    <t>Jerseys</t>
  </si>
  <si>
    <t>Road Bottle Cage</t>
  </si>
  <si>
    <t>Cycling Cap</t>
  </si>
  <si>
    <t>Half-Finger Gloves</t>
  </si>
  <si>
    <t>Gloves</t>
  </si>
  <si>
    <t>Road-750</t>
  </si>
  <si>
    <t>HL Road Tire</t>
  </si>
  <si>
    <t>HL Mountain Tire</t>
  </si>
  <si>
    <t>Touring Tire Tube</t>
  </si>
  <si>
    <t>LL Mountain Tire</t>
  </si>
  <si>
    <t>LL Road Tire</t>
  </si>
  <si>
    <t>Fender Set - Mountain</t>
  </si>
  <si>
    <t>Fenders</t>
  </si>
  <si>
    <t>Short-Sleeve Classic Jersey</t>
  </si>
  <si>
    <t>Women's Mountain Shorts</t>
  </si>
  <si>
    <t>Shorts</t>
  </si>
  <si>
    <t>Bike Wash</t>
  </si>
  <si>
    <t>Cleaners</t>
  </si>
  <si>
    <t>ML Mountain Tire</t>
  </si>
  <si>
    <t>ML Road Tire</t>
  </si>
  <si>
    <t>Hydration Pack</t>
  </si>
  <si>
    <t>Hydration Packs</t>
  </si>
  <si>
    <t>Racing Socks</t>
  </si>
  <si>
    <t>White</t>
  </si>
  <si>
    <t>Socks</t>
  </si>
  <si>
    <t>Touring Tire</t>
  </si>
  <si>
    <t>Road-350-W</t>
  </si>
  <si>
    <t>Mountain-400-W</t>
  </si>
  <si>
    <t>Touring-1000</t>
  </si>
  <si>
    <t>Touring Bikes</t>
  </si>
  <si>
    <t>All-Purpose Bike Stand</t>
  </si>
  <si>
    <t>Bike Stands</t>
  </si>
  <si>
    <t>Touring-2000</t>
  </si>
  <si>
    <t>Mountain-500</t>
  </si>
  <si>
    <t>Classic Vest</t>
  </si>
  <si>
    <t>Vests</t>
  </si>
  <si>
    <t>Touring-3000</t>
  </si>
  <si>
    <t>Hitch Rack - 4-Bike</t>
  </si>
  <si>
    <t>Bike Racks</t>
  </si>
  <si>
    <t>OrderValue</t>
  </si>
  <si>
    <t>RevLost</t>
  </si>
  <si>
    <t>Rev_Gen</t>
  </si>
  <si>
    <t>RevenueLost</t>
  </si>
  <si>
    <t>NetRev</t>
  </si>
  <si>
    <t>RevenueCollected</t>
  </si>
  <si>
    <t>RevLostPercnt</t>
  </si>
  <si>
    <t>RevenueRemained</t>
  </si>
  <si>
    <t>Y_o_Y_Growth_Prcnt</t>
  </si>
  <si>
    <t>Y-o_Y Revenue</t>
  </si>
  <si>
    <t>Y-o_Y Model Wise Order &amp; Return Trend Analysis</t>
  </si>
  <si>
    <t>Customer Retention</t>
  </si>
  <si>
    <t>Customer Repeat Ratio</t>
  </si>
  <si>
    <t>Repeat Customer Category Interest</t>
  </si>
  <si>
    <t>About Products</t>
  </si>
  <si>
    <t>Product Analysis</t>
  </si>
  <si>
    <t>Repeat Customers</t>
  </si>
  <si>
    <t>Product Market Share</t>
  </si>
  <si>
    <t>TotalOrders</t>
  </si>
  <si>
    <t>Cost</t>
  </si>
  <si>
    <t>NetProfit</t>
  </si>
  <si>
    <t>Cnt_Subcategory</t>
  </si>
  <si>
    <t>Cnt_ModelName</t>
  </si>
  <si>
    <t>Cnt_Products</t>
  </si>
  <si>
    <t>Components</t>
  </si>
  <si>
    <t>Quantity</t>
  </si>
  <si>
    <t>Product Model Contribution to Revenue</t>
  </si>
  <si>
    <t>Mountain-100 Black, 44</t>
  </si>
  <si>
    <t>Mountain-100 Silver, 42</t>
  </si>
  <si>
    <t>Mountain-100 Black, 48</t>
  </si>
  <si>
    <t>Mountain-100 Silver, 38</t>
  </si>
  <si>
    <t>Mountain-100 Black, 38</t>
  </si>
  <si>
    <t>Mountain-100 Black, 42</t>
  </si>
  <si>
    <t>Mountain-100 Silver, 44</t>
  </si>
  <si>
    <t>Mountain-100 Silver, 48</t>
  </si>
  <si>
    <t>List of 13 Products from 2015 Discontinued from 2016 Onwards</t>
  </si>
  <si>
    <t>Road-650 Black, 58</t>
  </si>
  <si>
    <t>Road-650 Black, 44</t>
  </si>
  <si>
    <t>Road-650 Red, 44</t>
  </si>
  <si>
    <t>Road-650 Red, 62</t>
  </si>
  <si>
    <t>Road-650 Black, 52</t>
  </si>
  <si>
    <t>Road-650 Red, 48</t>
  </si>
  <si>
    <t>Road-650 Black, 60</t>
  </si>
  <si>
    <t>Road-650 Red, 58</t>
  </si>
  <si>
    <t>Road-650 Red, 52</t>
  </si>
  <si>
    <t>Road-650 Red, 60</t>
  </si>
  <si>
    <t>Road-650 Black, 48</t>
  </si>
  <si>
    <t>Road-650 Black, 62</t>
  </si>
  <si>
    <t>Road-250 Red, 48</t>
  </si>
  <si>
    <t>Road-250 Red, 52</t>
  </si>
  <si>
    <t>Road-250 Red, 44</t>
  </si>
  <si>
    <t>List of 15 Products from 2015, 16 Discontinued in 2017 Onwards</t>
  </si>
  <si>
    <t>Territorial Purchase Behaviour</t>
  </si>
  <si>
    <t>Pacific</t>
  </si>
  <si>
    <t>Australia</t>
  </si>
  <si>
    <t>North America</t>
  </si>
  <si>
    <t>United States</t>
  </si>
  <si>
    <t>Southwest</t>
  </si>
  <si>
    <t>Northwest</t>
  </si>
  <si>
    <t>Canada</t>
  </si>
  <si>
    <t>Europe</t>
  </si>
  <si>
    <t>United Kingdom</t>
  </si>
  <si>
    <t>Germany</t>
  </si>
  <si>
    <t>France</t>
  </si>
  <si>
    <t>Southeast</t>
  </si>
  <si>
    <t>Northeast</t>
  </si>
  <si>
    <t>Central</t>
  </si>
  <si>
    <t>Continent</t>
  </si>
  <si>
    <t>Country</t>
  </si>
  <si>
    <t>Region</t>
  </si>
  <si>
    <t>ReturnValue</t>
  </si>
  <si>
    <t>Return_To_Order_Ratio</t>
  </si>
  <si>
    <t>Customer Behaviour Analysis</t>
  </si>
  <si>
    <t>BONNIE NATH</t>
  </si>
  <si>
    <t>ARIANA GRAY</t>
  </si>
  <si>
    <t>CINDY PATEL</t>
  </si>
  <si>
    <t>MAURICE SHAN</t>
  </si>
  <si>
    <t>CustomerKey</t>
  </si>
  <si>
    <t>Revenue</t>
  </si>
  <si>
    <t>Customer Count</t>
  </si>
  <si>
    <t>% Customers</t>
  </si>
  <si>
    <t>% Revenue</t>
  </si>
  <si>
    <t>Total Accessories</t>
  </si>
  <si>
    <t>Total Bikes</t>
  </si>
  <si>
    <t>Total Clothings</t>
  </si>
  <si>
    <t>Count Customers</t>
  </si>
  <si>
    <t>Shopping_Source</t>
  </si>
  <si>
    <t>Count</t>
  </si>
  <si>
    <t>Facebook</t>
  </si>
  <si>
    <t>Affiliate</t>
  </si>
  <si>
    <t>Organic</t>
  </si>
  <si>
    <t>Google</t>
  </si>
  <si>
    <t>Twitter</t>
  </si>
  <si>
    <t>Shopping Trend Analysis</t>
  </si>
  <si>
    <t>Top 5 Hero Products of Every Year</t>
  </si>
  <si>
    <t>Sales</t>
  </si>
  <si>
    <t>Profit</t>
  </si>
  <si>
    <t>Grand Total</t>
  </si>
  <si>
    <t>TotalRetrns</t>
  </si>
  <si>
    <t>NetOrders</t>
  </si>
  <si>
    <t>OrderRev</t>
  </si>
  <si>
    <t>ReturnRev</t>
  </si>
  <si>
    <t>NetRevenue</t>
  </si>
  <si>
    <t>Order and Revenue Share</t>
  </si>
  <si>
    <t>Sum of Cost</t>
  </si>
  <si>
    <t>PY 2015</t>
  </si>
  <si>
    <t>CY 2016</t>
  </si>
  <si>
    <t>NY 2017</t>
  </si>
  <si>
    <t>YOY 15-16</t>
  </si>
  <si>
    <t>YOY 16-17</t>
  </si>
  <si>
    <t>SALES TREND</t>
  </si>
  <si>
    <t>Sum of Revenue</t>
  </si>
  <si>
    <t>Sales Trend Across Territories</t>
  </si>
  <si>
    <t>Final Quantity</t>
  </si>
  <si>
    <t>Sum of Profit</t>
  </si>
  <si>
    <t>Region-wise Distribution of Top 30% Customers who Contribute to 80% of Revenue</t>
  </si>
  <si>
    <t>Shopping Source of Top 30%</t>
  </si>
  <si>
    <t>Purchase Behaviour of Top 30%</t>
  </si>
  <si>
    <t>TOTAL</t>
  </si>
  <si>
    <t>Count Bikes</t>
  </si>
  <si>
    <t>Count Accessories</t>
  </si>
  <si>
    <t>Count Clothings</t>
  </si>
  <si>
    <t>Customer Name</t>
  </si>
  <si>
    <t>Rank</t>
  </si>
  <si>
    <t>Top Five Customers</t>
  </si>
  <si>
    <t>TERRITORIAL TREND</t>
  </si>
  <si>
    <t>Avg Rank By Revenue</t>
  </si>
  <si>
    <t>Avg Revenue</t>
  </si>
  <si>
    <t>SALES</t>
  </si>
  <si>
    <t>Order Quantity</t>
  </si>
  <si>
    <t>Return Quantity</t>
  </si>
  <si>
    <t/>
  </si>
  <si>
    <t>Entitry</t>
  </si>
  <si>
    <t>TotalCost</t>
  </si>
  <si>
    <t>PRODUCT MODEL-WISE TREND</t>
  </si>
  <si>
    <t>Sum of Quantity</t>
  </si>
  <si>
    <t>Dashboard Values</t>
  </si>
  <si>
    <t xml:space="preserve"> </t>
  </si>
  <si>
    <t>KEY PERFORMANCE INDICATORS (KPIs)</t>
  </si>
  <si>
    <t>Entity</t>
  </si>
  <si>
    <t>Retention rate</t>
  </si>
  <si>
    <t>Sum of Total Cost</t>
  </si>
  <si>
    <t>Product Model</t>
  </si>
  <si>
    <t>Jan</t>
  </si>
  <si>
    <t>Feb</t>
  </si>
  <si>
    <t>Mar</t>
  </si>
  <si>
    <t>Apr</t>
  </si>
  <si>
    <t>May</t>
  </si>
  <si>
    <t>Jun</t>
  </si>
  <si>
    <t>Jul</t>
  </si>
  <si>
    <t>Aug</t>
  </si>
  <si>
    <t>Sep</t>
  </si>
  <si>
    <t>Oct</t>
  </si>
  <si>
    <t>Nov</t>
  </si>
  <si>
    <t>Dec</t>
  </si>
  <si>
    <t>TotalReturns</t>
  </si>
  <si>
    <t>Sum of NetProfit</t>
  </si>
  <si>
    <t>Sum of NetRevenue</t>
  </si>
  <si>
    <t>FinalQuantity</t>
  </si>
  <si>
    <t xml:space="preserve"> ReturnValue</t>
  </si>
  <si>
    <t>Sum of FinalQuantity</t>
  </si>
  <si>
    <t>Sum of OrderQuantity</t>
  </si>
  <si>
    <t>Sum of ReturnQuantity</t>
  </si>
  <si>
    <t>Perc_Cost</t>
  </si>
  <si>
    <t>Perc_Rev</t>
  </si>
  <si>
    <t>Perc_Profit</t>
  </si>
  <si>
    <t>Rnk</t>
  </si>
  <si>
    <t>Sum of NetProfit (M)</t>
  </si>
  <si>
    <t>Years</t>
  </si>
  <si>
    <t>Top 5 Revenue Generators</t>
  </si>
  <si>
    <t>Sales Across Territories (Category-wise)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</si>
</sst>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0"/>
    <numFmt numFmtId="165" formatCode="[&gt;=1000000]\$0.0,,&quot;M&quot;;[&gt;=1000]0.0,&quot;K&quot;;0"/>
    <numFmt numFmtId="166" formatCode="[&gt;=1000000]0.0,,&quot;M&quot;;[&gt;=1000]0.0,&quot;K&quot;;0"/>
  </numFmts>
  <fonts count="19" x14ac:knownFonts="1">
    <font>
      <sz val="11"/>
      <color theme="1"/>
      <name val="Calibri"/>
      <family val="2"/>
      <scheme val="minor"/>
    </font>
    <font>
      <b/>
      <sz val="11"/>
      <color theme="1"/>
      <name val="Calibri"/>
      <family val="2"/>
      <scheme val="minor"/>
    </font>
    <font>
      <sz val="11"/>
      <color theme="9" tint="-0.499984740745262"/>
      <name val="Calibri"/>
      <family val="2"/>
      <scheme val="minor"/>
    </font>
    <font>
      <sz val="11"/>
      <color theme="5" tint="-0.499984740745262"/>
      <name val="Calibri"/>
      <family val="2"/>
      <scheme val="minor"/>
    </font>
    <font>
      <sz val="11"/>
      <color theme="8" tint="-0.499984740745262"/>
      <name val="Calibri"/>
      <family val="2"/>
      <scheme val="minor"/>
    </font>
    <font>
      <b/>
      <sz val="16"/>
      <color theme="1"/>
      <name val="Calibri"/>
      <family val="2"/>
      <scheme val="minor"/>
    </font>
    <font>
      <b/>
      <sz val="14"/>
      <color theme="1"/>
      <name val="Calibri"/>
      <family val="2"/>
      <scheme val="minor"/>
    </font>
    <font>
      <b/>
      <sz val="11"/>
      <color theme="8" tint="-0.499984740745262"/>
      <name val="Calibri"/>
      <family val="2"/>
      <scheme val="minor"/>
    </font>
    <font>
      <b/>
      <sz val="16"/>
      <color theme="8" tint="-0.499984740745262"/>
      <name val="Calibri"/>
      <family val="2"/>
      <scheme val="minor"/>
    </font>
    <font>
      <sz val="11"/>
      <color rgb="FFEE0000"/>
      <name val="Calibri"/>
      <family val="2"/>
      <scheme val="minor"/>
    </font>
    <font>
      <b/>
      <sz val="11"/>
      <name val="Calibri"/>
      <family val="2"/>
      <scheme val="minor"/>
    </font>
    <font>
      <sz val="8"/>
      <name val="Calibri"/>
      <family val="2"/>
      <scheme val="minor"/>
    </font>
    <font>
      <b/>
      <sz val="11"/>
      <color theme="0"/>
      <name val="Calibri"/>
      <family val="2"/>
      <scheme val="minor"/>
    </font>
    <font>
      <b/>
      <sz val="16"/>
      <color rgb="FFFF0000"/>
      <name val="Calibri"/>
      <family val="2"/>
      <scheme val="minor"/>
    </font>
    <font>
      <b/>
      <sz val="22"/>
      <color rgb="FFFF0000"/>
      <name val="Calibri"/>
      <family val="2"/>
      <scheme val="minor"/>
    </font>
    <font>
      <b/>
      <sz val="22"/>
      <color theme="8" tint="-0.499984740745262"/>
      <name val="Calibri"/>
      <family val="2"/>
      <scheme val="minor"/>
    </font>
    <font>
      <b/>
      <sz val="26"/>
      <color rgb="FFFF0000"/>
      <name val="Calibri"/>
      <family val="2"/>
      <scheme val="minor"/>
    </font>
    <font>
      <b/>
      <sz val="22"/>
      <color theme="1"/>
      <name val="Calibri"/>
      <family val="2"/>
      <scheme val="minor"/>
    </font>
    <font>
      <sz val="26"/>
      <color rgb="FFFF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D5F5DE"/>
        <bgColor indexed="64"/>
      </patternFill>
    </fill>
    <fill>
      <patternFill patternType="solid">
        <fgColor rgb="FFBDEEFF"/>
        <bgColor indexed="64"/>
      </patternFill>
    </fill>
    <fill>
      <patternFill patternType="solid">
        <fgColor rgb="FF84E4CF"/>
        <bgColor indexed="64"/>
      </patternFill>
    </fill>
    <fill>
      <patternFill patternType="solid">
        <fgColor theme="0"/>
        <bgColor indexed="64"/>
      </patternFill>
    </fill>
    <fill>
      <patternFill patternType="solid">
        <fgColor rgb="FFD8DBF4"/>
        <bgColor indexed="64"/>
      </patternFill>
    </fill>
    <fill>
      <patternFill patternType="solid">
        <fgColor theme="4"/>
        <bgColor theme="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theme="4"/>
      </top>
      <bottom/>
      <diagonal/>
    </border>
  </borders>
  <cellStyleXfs count="1">
    <xf numFmtId="0" fontId="0" fillId="0" borderId="0"/>
  </cellStyleXfs>
  <cellXfs count="138">
    <xf numFmtId="0" fontId="0" fillId="0" borderId="0" xfId="0"/>
    <xf numFmtId="0" fontId="0" fillId="0" borderId="1" xfId="0" applyBorder="1" applyAlignment="1">
      <alignment horizontal="center" vertical="center"/>
    </xf>
    <xf numFmtId="0" fontId="4" fillId="0" borderId="0" xfId="0" applyFont="1" applyAlignment="1">
      <alignment horizontal="center" vertical="center" wrapText="1"/>
    </xf>
    <xf numFmtId="0" fontId="1" fillId="0" borderId="0" xfId="0" applyFont="1"/>
    <xf numFmtId="0" fontId="0" fillId="0" borderId="0" xfId="0" applyAlignment="1">
      <alignment horizontal="center" vertical="center"/>
    </xf>
    <xf numFmtId="0" fontId="5" fillId="0" borderId="0" xfId="0" applyFont="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center"/>
    </xf>
    <xf numFmtId="2" fontId="0" fillId="0" borderId="0" xfId="0" applyNumberFormat="1" applyAlignment="1">
      <alignment horizontal="center" vertical="center" wrapText="1"/>
    </xf>
    <xf numFmtId="0" fontId="8" fillId="0" borderId="0" xfId="0" applyFont="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1" fillId="3" borderId="11"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12" xfId="0" applyFont="1" applyFill="1" applyBorder="1" applyAlignment="1">
      <alignment horizontal="center" vertical="center"/>
    </xf>
    <xf numFmtId="2" fontId="0" fillId="0" borderId="9" xfId="0" applyNumberFormat="1" applyBorder="1" applyAlignment="1">
      <alignment horizontal="center" vertical="center" wrapText="1"/>
    </xf>
    <xf numFmtId="2" fontId="0" fillId="0" borderId="7" xfId="0" applyNumberFormat="1" applyBorder="1" applyAlignment="1">
      <alignment horizontal="center" vertical="center" wrapText="1"/>
    </xf>
    <xf numFmtId="0" fontId="0" fillId="9" borderId="0" xfId="0" applyFill="1"/>
    <xf numFmtId="0" fontId="13" fillId="0" borderId="0" xfId="0" applyFont="1"/>
    <xf numFmtId="0" fontId="0" fillId="4" borderId="0" xfId="0" applyFill="1" applyAlignment="1">
      <alignment horizontal="center" vertical="center" wrapText="1"/>
    </xf>
    <xf numFmtId="0" fontId="0" fillId="7" borderId="0" xfId="0" applyFill="1" applyAlignment="1">
      <alignment horizontal="center" vertical="center" wrapText="1"/>
    </xf>
    <xf numFmtId="0" fontId="0" fillId="0" borderId="9" xfId="0" applyBorder="1" applyAlignment="1">
      <alignment horizontal="center" vertical="center"/>
    </xf>
    <xf numFmtId="10" fontId="0" fillId="0" borderId="10" xfId="0" applyNumberFormat="1" applyBorder="1" applyAlignment="1">
      <alignment horizontal="center" vertical="center"/>
    </xf>
    <xf numFmtId="10"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10" fontId="0" fillId="0" borderId="12" xfId="0" applyNumberFormat="1" applyBorder="1" applyAlignment="1">
      <alignment horizontal="center" vertical="center"/>
    </xf>
    <xf numFmtId="0" fontId="1" fillId="0" borderId="8" xfId="0" applyFont="1" applyBorder="1" applyAlignment="1">
      <alignment horizontal="center" vertical="center" wrapText="1"/>
    </xf>
    <xf numFmtId="10" fontId="0" fillId="0" borderId="9" xfId="0" applyNumberFormat="1" applyBorder="1" applyAlignment="1">
      <alignment horizontal="center" vertical="center"/>
    </xf>
    <xf numFmtId="0" fontId="1" fillId="0" borderId="11" xfId="0" applyFont="1" applyBorder="1" applyAlignment="1">
      <alignment horizontal="center" vertical="center"/>
    </xf>
    <xf numFmtId="10" fontId="0" fillId="0" borderId="7" xfId="0" applyNumberForma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7" xfId="0" applyFont="1" applyBorder="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10" fillId="2" borderId="6" xfId="0" applyFont="1" applyFill="1" applyBorder="1" applyAlignment="1">
      <alignment horizontal="center" vertical="center"/>
    </xf>
    <xf numFmtId="0" fontId="9" fillId="0" borderId="5" xfId="0" applyFont="1" applyBorder="1" applyAlignment="1">
      <alignment horizontal="center" vertical="center" wrapText="1"/>
    </xf>
    <xf numFmtId="0" fontId="0" fillId="0" borderId="16" xfId="0" applyBorder="1"/>
    <xf numFmtId="0" fontId="12" fillId="10" borderId="0" xfId="0" applyFont="1" applyFill="1"/>
    <xf numFmtId="0" fontId="1" fillId="3" borderId="11" xfId="0" applyFont="1" applyFill="1" applyBorder="1" applyAlignment="1">
      <alignment horizontal="center" vertical="center"/>
    </xf>
    <xf numFmtId="0" fontId="0" fillId="3" borderId="7" xfId="0" applyFill="1" applyBorder="1" applyAlignment="1">
      <alignment horizontal="center" vertical="center"/>
    </xf>
    <xf numFmtId="0" fontId="8" fillId="8"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xf>
    <xf numFmtId="0" fontId="0" fillId="3" borderId="9" xfId="0" applyFill="1" applyBorder="1" applyAlignment="1">
      <alignment horizontal="center" vertical="center" wrapText="1"/>
    </xf>
    <xf numFmtId="0" fontId="0" fillId="3"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1" fillId="2" borderId="1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1"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1" xfId="0" applyFont="1" applyFill="1" applyBorder="1" applyAlignment="1">
      <alignment horizontal="center" vertical="center" wrapText="1"/>
    </xf>
    <xf numFmtId="165" fontId="0" fillId="0" borderId="0" xfId="0" applyNumberFormat="1"/>
    <xf numFmtId="0" fontId="0" fillId="0" borderId="0" xfId="0" applyAlignment="1">
      <alignment horizontal="left" indent="1"/>
    </xf>
    <xf numFmtId="0" fontId="1" fillId="2" borderId="15"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3" xfId="0" applyFont="1" applyFill="1" applyBorder="1" applyAlignment="1">
      <alignment horizontal="center" vertical="center"/>
    </xf>
    <xf numFmtId="166" fontId="0" fillId="0" borderId="0" xfId="0" applyNumberFormat="1"/>
    <xf numFmtId="0" fontId="0" fillId="0" borderId="0" xfId="0" applyAlignment="1">
      <alignment vertical="center" wrapText="1"/>
    </xf>
    <xf numFmtId="0" fontId="1" fillId="2" borderId="0" xfId="0" applyFont="1" applyFill="1"/>
    <xf numFmtId="0" fontId="2" fillId="0" borderId="6" xfId="0" applyFont="1" applyBorder="1" applyAlignment="1">
      <alignment horizontal="center" vertical="center" wrapText="1"/>
    </xf>
    <xf numFmtId="0" fontId="2" fillId="0" borderId="15"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5" fillId="0" borderId="1" xfId="0" applyFont="1" applyBorder="1" applyAlignment="1">
      <alignment horizontal="center" vertical="center"/>
    </xf>
    <xf numFmtId="0" fontId="17" fillId="0" borderId="1" xfId="0" applyFont="1" applyBorder="1" applyAlignment="1">
      <alignment horizontal="center" vertical="center" wrapText="1"/>
    </xf>
    <xf numFmtId="0" fontId="1" fillId="0" borderId="1"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7" xfId="0" applyFont="1" applyBorder="1" applyAlignment="1">
      <alignment horizontal="center" vertical="center"/>
    </xf>
    <xf numFmtId="0" fontId="16" fillId="0" borderId="12"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xf>
    <xf numFmtId="0" fontId="0" fillId="0" borderId="2" xfId="0" applyBorder="1" applyAlignment="1">
      <alignment horizontal="center" vertical="center"/>
    </xf>
    <xf numFmtId="0" fontId="16" fillId="0" borderId="1"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7" xfId="0" applyFont="1" applyBorder="1" applyAlignment="1">
      <alignment horizontal="center" vertical="center"/>
    </xf>
    <xf numFmtId="0" fontId="5" fillId="0" borderId="12" xfId="0" applyFont="1" applyBorder="1" applyAlignment="1">
      <alignment horizontal="center" vertical="center"/>
    </xf>
    <xf numFmtId="0" fontId="15" fillId="8" borderId="1" xfId="0" applyFont="1" applyFill="1" applyBorder="1" applyAlignment="1">
      <alignment horizontal="center" vertical="center" wrapText="1"/>
    </xf>
    <xf numFmtId="0" fontId="18" fillId="0" borderId="1" xfId="0" applyFont="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7" xfId="0" applyFont="1" applyBorder="1" applyAlignment="1">
      <alignment horizontal="center" vertical="center"/>
    </xf>
    <xf numFmtId="0" fontId="17" fillId="0" borderId="12" xfId="0" applyFont="1" applyBorder="1" applyAlignment="1">
      <alignment horizontal="center" vertical="center"/>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2" xfId="0" applyFont="1" applyBorder="1" applyAlignment="1">
      <alignment horizontal="center" vertical="center" wrapText="1"/>
    </xf>
  </cellXfs>
  <cellStyles count="1">
    <cellStyle name="Normal" xfId="0" builtinId="0"/>
  </cellStyles>
  <dxfs count="109">
    <dxf>
      <font>
        <color auto="1"/>
      </font>
      <fill>
        <patternFill>
          <bgColor theme="7" tint="0.79998168889431442"/>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66"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6" formatCode="[&gt;=1000000]0.0,,&quot;M&quot;;[&gt;=1000]0.0,&quot;K&quot;;0"/>
    </dxf>
    <dxf>
      <numFmt numFmtId="164" formatCode="[&gt;=1000000]\$0.0,,&quot;M&quot;;[&gt;=1000]\$0.0,&quot;K&quot;;0"/>
    </dxf>
    <dxf>
      <numFmt numFmtId="165" formatCode="[&gt;=1000000]\$0.0,,&quot;M&quot;;[&gt;=1000]0.0,&quot;K&quot;;0"/>
    </dxf>
    <dxf>
      <numFmt numFmtId="166"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6"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8" tint="-0.499984740745262"/>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right style="thin">
          <color indexed="64"/>
        </right>
        <top/>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top/>
        <bottom/>
        <vertical/>
        <horizontal/>
      </border>
    </dxf>
    <dxf>
      <border outline="0">
        <left style="thin">
          <color indexed="64"/>
        </left>
        <right style="thin">
          <color indexed="64"/>
        </right>
        <top style="thin">
          <color indexed="64"/>
        </top>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BDEEFF"/>
        </patternFill>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rgb="FFD8DBF4"/>
      </font>
      <fill>
        <patternFill>
          <bgColor rgb="FF06091C"/>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ED66E750-DC24-4AC5-9365-850078754AD2}">
      <tableStyleElement type="wholeTable" dxfId="108"/>
    </tableStyle>
  </tableStyles>
  <colors>
    <mruColors>
      <color rgb="FFFFD6B9"/>
      <color rgb="FF00DDCC"/>
      <color rgb="FFFF61CF"/>
      <color rgb="FFD8DBF4"/>
      <color rgb="FF0E1442"/>
      <color rgb="FFC5ED33"/>
      <color rgb="FFC5EC34"/>
      <color rgb="FFDC32EE"/>
      <color rgb="FFBF61B4"/>
      <color rgb="FF923B88"/>
    </mruColors>
  </colors>
  <extLst>
    <ext xmlns:x14="http://schemas.microsoft.com/office/spreadsheetml/2009/9/main" uri="{46F421CA-312F-682f-3DD2-61675219B42D}">
      <x14:dxfs count="3">
        <dxf>
          <fill>
            <gradientFill degree="90">
              <stop position="0">
                <color theme="0"/>
              </stop>
              <stop position="0.5">
                <color rgb="FF161F64"/>
              </stop>
              <stop position="1">
                <color theme="0"/>
              </stop>
            </gradientFill>
          </fill>
        </dxf>
        <dxf>
          <fill>
            <patternFill>
              <bgColor rgb="FF172167"/>
            </patternFill>
          </fill>
        </dxf>
        <dxf>
          <fill>
            <patternFill>
              <bgColor rgb="FF0A0E2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openxmlformats.org/officeDocument/2006/relationships/powerPivotData" Target="model/item.data"/><Relationship Id="rId21" Type="http://schemas.openxmlformats.org/officeDocument/2006/relationships/pivotCacheDefinition" Target="pivotCache/pivotCacheDefinition17.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63"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ivotCacheDefinition" Target="pivotCache/pivotCacheDefinition25.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07/relationships/slicerCache" Target="slicerCaches/slicerCache2.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pivotCacheDefinition" Target="pivotCache/pivotCacheDefinition1.xml"/><Relationship Id="rId61" Type="http://schemas.openxmlformats.org/officeDocument/2006/relationships/customXml" Target="../customXml/item2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pivotCacheDefinition" Target="pivotCache/pivotCacheDefinition4.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3.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16.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6.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Insights.xlsx]Sheet1!PivotTable15</c:name>
    <c:fmtId val="0"/>
  </c:pivotSource>
  <c:chart>
    <c:autoTitleDeleted val="0"/>
    <c:pivotFmts>
      <c:pivotFmt>
        <c:idx val="0"/>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DBF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DBF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8DBF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Sheet1!$C$21:$C$22</c:f>
              <c:strCache>
                <c:ptCount val="1"/>
                <c:pt idx="0">
                  <c:v>2015</c:v>
                </c:pt>
              </c:strCache>
            </c:strRef>
          </c:tx>
          <c:spPr>
            <a:solidFill>
              <a:srgbClr val="FFD6B9"/>
            </a:solidFill>
            <a:ln>
              <a:noFill/>
            </a:ln>
            <a:effectLst/>
          </c:spPr>
          <c:invertIfNegative val="0"/>
          <c:cat>
            <c:strRef>
              <c:f>Sheet1!$B$23:$B$31</c:f>
              <c:strCache>
                <c:ptCount val="8"/>
                <c:pt idx="0">
                  <c:v>Mountain-100</c:v>
                </c:pt>
                <c:pt idx="1">
                  <c:v>Mountain-200</c:v>
                </c:pt>
                <c:pt idx="2">
                  <c:v>Road-150</c:v>
                </c:pt>
                <c:pt idx="3">
                  <c:v>Road-250</c:v>
                </c:pt>
                <c:pt idx="4">
                  <c:v>Road-350-W</c:v>
                </c:pt>
                <c:pt idx="5">
                  <c:v>Road-550-W</c:v>
                </c:pt>
                <c:pt idx="6">
                  <c:v>Road-650</c:v>
                </c:pt>
                <c:pt idx="7">
                  <c:v>Touring-1000</c:v>
                </c:pt>
              </c:strCache>
            </c:strRef>
          </c:cat>
          <c:val>
            <c:numRef>
              <c:f>Sheet1!$C$23:$C$31</c:f>
              <c:numCache>
                <c:formatCode>General</c:formatCode>
                <c:ptCount val="8"/>
                <c:pt idx="0">
                  <c:v>0.4</c:v>
                </c:pt>
                <c:pt idx="1">
                  <c:v>0.5</c:v>
                </c:pt>
                <c:pt idx="2">
                  <c:v>1.5</c:v>
                </c:pt>
                <c:pt idx="3">
                  <c:v>0.8</c:v>
                </c:pt>
                <c:pt idx="6">
                  <c:v>0.2</c:v>
                </c:pt>
              </c:numCache>
            </c:numRef>
          </c:val>
          <c:extLst>
            <c:ext xmlns:c16="http://schemas.microsoft.com/office/drawing/2014/chart" uri="{C3380CC4-5D6E-409C-BE32-E72D297353CC}">
              <c16:uniqueId val="{00000000-3D22-438F-A3E8-FA05492EAC72}"/>
            </c:ext>
          </c:extLst>
        </c:ser>
        <c:ser>
          <c:idx val="1"/>
          <c:order val="1"/>
          <c:tx>
            <c:strRef>
              <c:f>Sheet1!$D$21:$D$22</c:f>
              <c:strCache>
                <c:ptCount val="1"/>
                <c:pt idx="0">
                  <c:v>2016</c:v>
                </c:pt>
              </c:strCache>
            </c:strRef>
          </c:tx>
          <c:spPr>
            <a:solidFill>
              <a:srgbClr val="FF61CF"/>
            </a:solidFill>
            <a:ln>
              <a:noFill/>
            </a:ln>
            <a:effectLst/>
          </c:spPr>
          <c:invertIfNegative val="0"/>
          <c:cat>
            <c:strRef>
              <c:f>Sheet1!$B$23:$B$31</c:f>
              <c:strCache>
                <c:ptCount val="8"/>
                <c:pt idx="0">
                  <c:v>Mountain-100</c:v>
                </c:pt>
                <c:pt idx="1">
                  <c:v>Mountain-200</c:v>
                </c:pt>
                <c:pt idx="2">
                  <c:v>Road-150</c:v>
                </c:pt>
                <c:pt idx="3">
                  <c:v>Road-250</c:v>
                </c:pt>
                <c:pt idx="4">
                  <c:v>Road-350-W</c:v>
                </c:pt>
                <c:pt idx="5">
                  <c:v>Road-550-W</c:v>
                </c:pt>
                <c:pt idx="6">
                  <c:v>Road-650</c:v>
                </c:pt>
                <c:pt idx="7">
                  <c:v>Touring-1000</c:v>
                </c:pt>
              </c:strCache>
            </c:strRef>
          </c:cat>
          <c:val>
            <c:numRef>
              <c:f>Sheet1!$D$23:$D$31</c:f>
              <c:numCache>
                <c:formatCode>General</c:formatCode>
                <c:ptCount val="8"/>
                <c:pt idx="1">
                  <c:v>2.2000000000000002</c:v>
                </c:pt>
                <c:pt idx="3">
                  <c:v>1.1000000000000001</c:v>
                </c:pt>
                <c:pt idx="4">
                  <c:v>0.3</c:v>
                </c:pt>
                <c:pt idx="5">
                  <c:v>0.3</c:v>
                </c:pt>
                <c:pt idx="7">
                  <c:v>0.6</c:v>
                </c:pt>
              </c:numCache>
            </c:numRef>
          </c:val>
          <c:extLst>
            <c:ext xmlns:c16="http://schemas.microsoft.com/office/drawing/2014/chart" uri="{C3380CC4-5D6E-409C-BE32-E72D297353CC}">
              <c16:uniqueId val="{00000001-3D22-438F-A3E8-FA05492EAC72}"/>
            </c:ext>
          </c:extLst>
        </c:ser>
        <c:ser>
          <c:idx val="2"/>
          <c:order val="2"/>
          <c:tx>
            <c:strRef>
              <c:f>Sheet1!$E$21:$E$22</c:f>
              <c:strCache>
                <c:ptCount val="1"/>
                <c:pt idx="0">
                  <c:v>2017</c:v>
                </c:pt>
              </c:strCache>
            </c:strRef>
          </c:tx>
          <c:spPr>
            <a:solidFill>
              <a:srgbClr val="00DDCC"/>
            </a:solidFill>
            <a:ln>
              <a:noFill/>
            </a:ln>
            <a:effectLst/>
          </c:spPr>
          <c:invertIfNegative val="0"/>
          <c:cat>
            <c:strRef>
              <c:f>Sheet1!$B$23:$B$31</c:f>
              <c:strCache>
                <c:ptCount val="8"/>
                <c:pt idx="0">
                  <c:v>Mountain-100</c:v>
                </c:pt>
                <c:pt idx="1">
                  <c:v>Mountain-200</c:v>
                </c:pt>
                <c:pt idx="2">
                  <c:v>Road-150</c:v>
                </c:pt>
                <c:pt idx="3">
                  <c:v>Road-250</c:v>
                </c:pt>
                <c:pt idx="4">
                  <c:v>Road-350-W</c:v>
                </c:pt>
                <c:pt idx="5">
                  <c:v>Road-550-W</c:v>
                </c:pt>
                <c:pt idx="6">
                  <c:v>Road-650</c:v>
                </c:pt>
                <c:pt idx="7">
                  <c:v>Touring-1000</c:v>
                </c:pt>
              </c:strCache>
            </c:strRef>
          </c:cat>
          <c:val>
            <c:numRef>
              <c:f>Sheet1!$E$23:$E$31</c:f>
              <c:numCache>
                <c:formatCode>General</c:formatCode>
                <c:ptCount val="8"/>
                <c:pt idx="1">
                  <c:v>1.9</c:v>
                </c:pt>
                <c:pt idx="3">
                  <c:v>0.4</c:v>
                </c:pt>
                <c:pt idx="4">
                  <c:v>0.5</c:v>
                </c:pt>
                <c:pt idx="5">
                  <c:v>0.3</c:v>
                </c:pt>
                <c:pt idx="7">
                  <c:v>1</c:v>
                </c:pt>
              </c:numCache>
            </c:numRef>
          </c:val>
          <c:extLst>
            <c:ext xmlns:c16="http://schemas.microsoft.com/office/drawing/2014/chart" uri="{C3380CC4-5D6E-409C-BE32-E72D297353CC}">
              <c16:uniqueId val="{00000002-3D22-438F-A3E8-FA05492EAC72}"/>
            </c:ext>
          </c:extLst>
        </c:ser>
        <c:dLbls>
          <c:showLegendKey val="0"/>
          <c:showVal val="0"/>
          <c:showCatName val="0"/>
          <c:showSerName val="0"/>
          <c:showPercent val="0"/>
          <c:showBubbleSize val="0"/>
        </c:dLbls>
        <c:gapWidth val="219"/>
        <c:overlap val="-27"/>
        <c:axId val="585885840"/>
        <c:axId val="585894960"/>
      </c:barChart>
      <c:catAx>
        <c:axId val="58588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585894960"/>
        <c:crosses val="autoZero"/>
        <c:auto val="1"/>
        <c:lblAlgn val="ctr"/>
        <c:lblOffset val="100"/>
        <c:noMultiLvlLbl val="0"/>
      </c:catAx>
      <c:valAx>
        <c:axId val="58589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585885840"/>
        <c:crosses val="autoZero"/>
        <c:crossBetween val="between"/>
      </c:valAx>
      <c:spPr>
        <a:noFill/>
        <a:ln>
          <a:noFill/>
        </a:ln>
        <a:effectLst/>
      </c:spPr>
    </c:plotArea>
    <c:legend>
      <c:legendPos val="tr"/>
      <c:layout>
        <c:manualLayout>
          <c:xMode val="edge"/>
          <c:yMode val="edge"/>
          <c:x val="0.88437073490813645"/>
          <c:y val="1.2868183143773698E-2"/>
          <c:w val="9.8962598425196849E-2"/>
          <c:h val="0.3294207494896471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1442"/>
    </a:solidFill>
    <a:ln w="9525" cap="flat" cmpd="sng" algn="ctr">
      <a:solidFill>
        <a:schemeClr val="tx1">
          <a:lumMod val="15000"/>
          <a:lumOff val="85000"/>
        </a:schemeClr>
      </a:solidFill>
      <a:round/>
    </a:ln>
    <a:effectLst/>
  </c:spPr>
  <c:txPr>
    <a:bodyPr/>
    <a:lstStyle/>
    <a:p>
      <a:pPr>
        <a:defRPr>
          <a:solidFill>
            <a:srgbClr val="D8DBF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Insights.xlsx]Calculations!mom</c:name>
    <c:fmtId val="7"/>
  </c:pivotSource>
  <c:chart>
    <c:autoTitleDeleted val="0"/>
    <c:pivotFmts>
      <c:pivotFmt>
        <c:idx val="0"/>
        <c:spPr>
          <a:solidFill>
            <a:schemeClr val="accent1"/>
          </a:solidFill>
          <a:ln w="25400" cap="rnd">
            <a:solidFill>
              <a:srgbClr val="FFD6B9"/>
            </a:solidFill>
            <a:round/>
          </a:ln>
          <a:effectLst>
            <a:outerShdw blurRad="50800" dist="50800" dir="5400000" algn="ctr" rotWithShape="0">
              <a:srgbClr val="FFD6B9"/>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61CF"/>
            </a:solidFill>
            <a:round/>
          </a:ln>
          <a:effectLst>
            <a:outerShdw blurRad="50800" dist="50800" dir="5400000" algn="ctr" rotWithShape="0">
              <a:srgbClr val="FFA7E4"/>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0DDCC"/>
            </a:solidFill>
            <a:round/>
          </a:ln>
          <a:effectLst>
            <a:outerShdw blurRad="50800" dist="38100" dir="2700000" algn="tl" rotWithShape="0">
              <a:srgbClr val="00DDCC">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D6B9"/>
            </a:solidFill>
            <a:round/>
          </a:ln>
          <a:effectLst>
            <a:outerShdw blurRad="50800" dist="50800" dir="5400000" algn="ctr" rotWithShape="0">
              <a:srgbClr val="FFD6B9"/>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FF61CF"/>
            </a:solidFill>
            <a:round/>
          </a:ln>
          <a:effectLst>
            <a:outerShdw blurRad="50800" dist="50800" dir="5400000" algn="ctr" rotWithShape="0">
              <a:srgbClr val="FFA7E4"/>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00DDCC"/>
            </a:solidFill>
            <a:round/>
          </a:ln>
          <a:effectLst>
            <a:outerShdw blurRad="50800" dist="38100" dir="2700000" algn="tl" rotWithShape="0">
              <a:srgbClr val="00DDCC">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rgbClr val="FFD6B9"/>
            </a:solidFill>
            <a:round/>
          </a:ln>
          <a:effectLst>
            <a:outerShdw blurRad="50800" dist="50800" dir="5400000" algn="ctr" rotWithShape="0">
              <a:srgbClr val="FFD6B9">
                <a:alpha val="3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rgbClr val="FF61CF"/>
            </a:solidFill>
            <a:round/>
          </a:ln>
          <a:effectLst>
            <a:outerShdw blurRad="50800" dist="50800" dir="5400000" algn="ctr" rotWithShape="0">
              <a:srgbClr val="FFA7E4">
                <a:alpha val="3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00DDCC"/>
            </a:solidFill>
            <a:round/>
          </a:ln>
          <a:effectLst>
            <a:outerShdw blurRad="50800" dist="38100" dir="2700000" algn="tl" rotWithShape="0">
              <a:srgbClr val="00DDCC">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Calculations!$C$27:$C$28</c:f>
              <c:strCache>
                <c:ptCount val="1"/>
                <c:pt idx="0">
                  <c:v>2015</c:v>
                </c:pt>
              </c:strCache>
            </c:strRef>
          </c:tx>
          <c:spPr>
            <a:ln w="25400" cap="rnd">
              <a:solidFill>
                <a:srgbClr val="FFD6B9"/>
              </a:solidFill>
              <a:round/>
            </a:ln>
            <a:effectLst>
              <a:outerShdw blurRad="50800" dist="50800" dir="5400000" algn="ctr" rotWithShape="0">
                <a:srgbClr val="FFD6B9">
                  <a:alpha val="30000"/>
                </a:srgbClr>
              </a:outerShdw>
            </a:effectLst>
          </c:spPr>
          <c:marker>
            <c:symbol val="none"/>
          </c:marker>
          <c:cat>
            <c:strRef>
              <c:f>Calculations!$B$29:$B$41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Calculations!$C$29:$C$41</c:f>
              <c:numCache>
                <c:formatCode>[&gt;=1000000]\$0.0,,"M";[&gt;=1000]\$0.0,"K";0</c:formatCode>
                <c:ptCount val="12"/>
                <c:pt idx="0">
                  <c:v>865190.98</c:v>
                </c:pt>
                <c:pt idx="1">
                  <c:v>800424.93</c:v>
                </c:pt>
                <c:pt idx="2">
                  <c:v>928759.74</c:v>
                </c:pt>
                <c:pt idx="3">
                  <c:v>872552.34</c:v>
                </c:pt>
                <c:pt idx="4">
                  <c:v>897096.86</c:v>
                </c:pt>
                <c:pt idx="5">
                  <c:v>1004462.19</c:v>
                </c:pt>
                <c:pt idx="6">
                  <c:v>724540.79</c:v>
                </c:pt>
                <c:pt idx="7">
                  <c:v>796777.21</c:v>
                </c:pt>
                <c:pt idx="8">
                  <c:v>514752.01</c:v>
                </c:pt>
                <c:pt idx="9">
                  <c:v>592524.56000000006</c:v>
                </c:pt>
                <c:pt idx="10">
                  <c:v>485938.83</c:v>
                </c:pt>
                <c:pt idx="11">
                  <c:v>811825.93</c:v>
                </c:pt>
              </c:numCache>
            </c:numRef>
          </c:val>
          <c:smooth val="0"/>
          <c:extLst>
            <c:ext xmlns:c16="http://schemas.microsoft.com/office/drawing/2014/chart" uri="{C3380CC4-5D6E-409C-BE32-E72D297353CC}">
              <c16:uniqueId val="{00000006-816A-4B1B-A403-9944DF85F0D6}"/>
            </c:ext>
          </c:extLst>
        </c:ser>
        <c:ser>
          <c:idx val="1"/>
          <c:order val="1"/>
          <c:tx>
            <c:strRef>
              <c:f>Calculations!$D$27:$D$28</c:f>
              <c:strCache>
                <c:ptCount val="1"/>
                <c:pt idx="0">
                  <c:v>2016</c:v>
                </c:pt>
              </c:strCache>
            </c:strRef>
          </c:tx>
          <c:spPr>
            <a:ln w="25400" cap="rnd">
              <a:solidFill>
                <a:srgbClr val="FF61CF"/>
              </a:solidFill>
              <a:round/>
            </a:ln>
            <a:effectLst>
              <a:outerShdw blurRad="50800" dist="50800" dir="5400000" algn="ctr" rotWithShape="0">
                <a:srgbClr val="FFA7E4">
                  <a:alpha val="30000"/>
                </a:srgbClr>
              </a:outerShdw>
            </a:effectLst>
          </c:spPr>
          <c:marker>
            <c:symbol val="none"/>
          </c:marker>
          <c:cat>
            <c:strRef>
              <c:f>Calculations!$B$29:$B$41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Calculations!$D$29:$D$41</c:f>
              <c:numCache>
                <c:formatCode>[&gt;=1000000]\$0.0,,"M";[&gt;=1000]\$0.0,"K";0</c:formatCode>
                <c:ptCount val="12"/>
                <c:pt idx="0">
                  <c:v>641910.42000000004</c:v>
                </c:pt>
                <c:pt idx="1">
                  <c:v>679676.68</c:v>
                </c:pt>
                <c:pt idx="2">
                  <c:v>686704.59</c:v>
                </c:pt>
                <c:pt idx="3">
                  <c:v>722542.5</c:v>
                </c:pt>
                <c:pt idx="4">
                  <c:v>826750.53</c:v>
                </c:pt>
                <c:pt idx="5">
                  <c:v>746366.26</c:v>
                </c:pt>
                <c:pt idx="6">
                  <c:v>1238589.42</c:v>
                </c:pt>
                <c:pt idx="7">
                  <c:v>1277559.24</c:v>
                </c:pt>
                <c:pt idx="8">
                  <c:v>1522159.71</c:v>
                </c:pt>
                <c:pt idx="9">
                  <c:v>1646295.03</c:v>
                </c:pt>
                <c:pt idx="10">
                  <c:v>1782069.26</c:v>
                </c:pt>
                <c:pt idx="11">
                  <c:v>2590958.02</c:v>
                </c:pt>
              </c:numCache>
            </c:numRef>
          </c:val>
          <c:smooth val="0"/>
          <c:extLst>
            <c:ext xmlns:c16="http://schemas.microsoft.com/office/drawing/2014/chart" uri="{C3380CC4-5D6E-409C-BE32-E72D297353CC}">
              <c16:uniqueId val="{00000003-081D-43D0-8B4C-DC36D04A484B}"/>
            </c:ext>
          </c:extLst>
        </c:ser>
        <c:ser>
          <c:idx val="2"/>
          <c:order val="2"/>
          <c:tx>
            <c:strRef>
              <c:f>Calculations!$E$27:$E$28</c:f>
              <c:strCache>
                <c:ptCount val="1"/>
                <c:pt idx="0">
                  <c:v>2017</c:v>
                </c:pt>
              </c:strCache>
            </c:strRef>
          </c:tx>
          <c:spPr>
            <a:ln w="25400" cap="rnd">
              <a:solidFill>
                <a:srgbClr val="00DDCC"/>
              </a:solidFill>
              <a:round/>
            </a:ln>
            <a:effectLst>
              <a:outerShdw blurRad="50800" dist="38100" dir="2700000" algn="tl" rotWithShape="0">
                <a:srgbClr val="00DDCC">
                  <a:alpha val="40000"/>
                </a:srgbClr>
              </a:outerShdw>
            </a:effectLst>
          </c:spPr>
          <c:marker>
            <c:symbol val="none"/>
          </c:marker>
          <c:cat>
            <c:strRef>
              <c:f>Calculations!$B$29:$B$41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Calculations!$E$29:$E$41</c:f>
              <c:numCache>
                <c:formatCode>[&gt;=1000000]\$0.0,,"M";[&gt;=1000]\$0.0,"K";0</c:formatCode>
                <c:ptCount val="12"/>
                <c:pt idx="0">
                  <c:v>2054707.75</c:v>
                </c:pt>
                <c:pt idx="1">
                  <c:v>2085135.34</c:v>
                </c:pt>
                <c:pt idx="2">
                  <c:v>2272560.4</c:v>
                </c:pt>
                <c:pt idx="3">
                  <c:v>2381792.15</c:v>
                </c:pt>
                <c:pt idx="4">
                  <c:v>2773387.7</c:v>
                </c:pt>
                <c:pt idx="5">
                  <c:v>2828829.25</c:v>
                </c:pt>
              </c:numCache>
            </c:numRef>
          </c:val>
          <c:smooth val="0"/>
          <c:extLst>
            <c:ext xmlns:c16="http://schemas.microsoft.com/office/drawing/2014/chart" uri="{C3380CC4-5D6E-409C-BE32-E72D297353CC}">
              <c16:uniqueId val="{00000004-081D-43D0-8B4C-DC36D04A484B}"/>
            </c:ext>
          </c:extLst>
        </c:ser>
        <c:dLbls>
          <c:showLegendKey val="0"/>
          <c:showVal val="0"/>
          <c:showCatName val="0"/>
          <c:showSerName val="0"/>
          <c:showPercent val="0"/>
          <c:showBubbleSize val="0"/>
        </c:dLbls>
        <c:smooth val="0"/>
        <c:axId val="914506911"/>
        <c:axId val="914507391"/>
      </c:lineChart>
      <c:catAx>
        <c:axId val="91450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914507391"/>
        <c:crosses val="autoZero"/>
        <c:auto val="1"/>
        <c:lblAlgn val="ctr"/>
        <c:lblOffset val="100"/>
        <c:noMultiLvlLbl val="0"/>
      </c:catAx>
      <c:valAx>
        <c:axId val="914507391"/>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914506911"/>
        <c:crosses val="autoZero"/>
        <c:crossBetween val="between"/>
      </c:valAx>
      <c:spPr>
        <a:noFill/>
        <a:ln>
          <a:noFill/>
        </a:ln>
        <a:effectLst/>
      </c:spPr>
    </c:plotArea>
    <c:legend>
      <c:legendPos val="t"/>
      <c:layout>
        <c:manualLayout>
          <c:xMode val="edge"/>
          <c:yMode val="edge"/>
          <c:x val="0.67069200926055395"/>
          <c:y val="2.768166089965398E-2"/>
          <c:w val="0.29552199430811532"/>
          <c:h val="8.388200768235415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Insights.xlsx]Calculations!model sales</c:name>
    <c:fmtId val="12"/>
  </c:pivotSource>
  <c:chart>
    <c:autoTitleDeleted val="0"/>
    <c:pivotFmts>
      <c:pivotFmt>
        <c:idx val="0"/>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D6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61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DD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Calculations!$O$45:$O$46</c:f>
              <c:strCache>
                <c:ptCount val="1"/>
                <c:pt idx="0">
                  <c:v>2015</c:v>
                </c:pt>
              </c:strCache>
            </c:strRef>
          </c:tx>
          <c:spPr>
            <a:solidFill>
              <a:srgbClr val="FFD6B9"/>
            </a:solidFill>
            <a:ln>
              <a:noFill/>
            </a:ln>
            <a:effectLst/>
          </c:spPr>
          <c:invertIfNegative val="0"/>
          <c:cat>
            <c:multiLvlStrRef>
              <c:f>Calculations!$N$47:$N$90</c:f>
              <c:multiLvlStrCache>
                <c:ptCount val="40"/>
                <c:lvl>
                  <c:pt idx="0">
                    <c:v>All-Purpose Bike Stand</c:v>
                  </c:pt>
                  <c:pt idx="1">
                    <c:v>Bike Wash</c:v>
                  </c:pt>
                  <c:pt idx="2">
                    <c:v>Fender Set - Mountain</c:v>
                  </c:pt>
                  <c:pt idx="3">
                    <c:v>Hitch Rack - 4-Bike</c:v>
                  </c:pt>
                  <c:pt idx="4">
                    <c:v>HL Mountain Tire</c:v>
                  </c:pt>
                  <c:pt idx="5">
                    <c:v>HL Road Tire</c:v>
                  </c:pt>
                  <c:pt idx="6">
                    <c:v>Hydration Pack</c:v>
                  </c:pt>
                  <c:pt idx="7">
                    <c:v>LL Mountain Tire</c:v>
                  </c:pt>
                  <c:pt idx="8">
                    <c:v>LL Road Tire</c:v>
                  </c:pt>
                  <c:pt idx="9">
                    <c:v>ML Mountain Tire</c:v>
                  </c:pt>
                  <c:pt idx="10">
                    <c:v>ML Road Tire</c:v>
                  </c:pt>
                  <c:pt idx="11">
                    <c:v>Mountain Bottle Cage</c:v>
                  </c:pt>
                  <c:pt idx="12">
                    <c:v>Mountain Tire Tube</c:v>
                  </c:pt>
                  <c:pt idx="13">
                    <c:v>Patch kit</c:v>
                  </c:pt>
                  <c:pt idx="14">
                    <c:v>Road Bottle Cage</c:v>
                  </c:pt>
                  <c:pt idx="15">
                    <c:v>Road Tire Tube</c:v>
                  </c:pt>
                  <c:pt idx="16">
                    <c:v>Sport-100</c:v>
                  </c:pt>
                  <c:pt idx="17">
                    <c:v>Touring Tire</c:v>
                  </c:pt>
                  <c:pt idx="18">
                    <c:v>Touring Tire Tube</c:v>
                  </c:pt>
                  <c:pt idx="19">
                    <c:v>Water Bottle</c:v>
                  </c:pt>
                  <c:pt idx="20">
                    <c:v>Mountain-100</c:v>
                  </c:pt>
                  <c:pt idx="21">
                    <c:v>Mountain-200</c:v>
                  </c:pt>
                  <c:pt idx="22">
                    <c:v>Mountain-400-W</c:v>
                  </c:pt>
                  <c:pt idx="23">
                    <c:v>Mountain-500</c:v>
                  </c:pt>
                  <c:pt idx="24">
                    <c:v>Road-150</c:v>
                  </c:pt>
                  <c:pt idx="25">
                    <c:v>Road-250</c:v>
                  </c:pt>
                  <c:pt idx="26">
                    <c:v>Road-350-W</c:v>
                  </c:pt>
                  <c:pt idx="27">
                    <c:v>Road-550-W</c:v>
                  </c:pt>
                  <c:pt idx="28">
                    <c:v>Road-650</c:v>
                  </c:pt>
                  <c:pt idx="29">
                    <c:v>Road-750</c:v>
                  </c:pt>
                  <c:pt idx="30">
                    <c:v>Touring-1000</c:v>
                  </c:pt>
                  <c:pt idx="31">
                    <c:v>Touring-2000</c:v>
                  </c:pt>
                  <c:pt idx="32">
                    <c:v>Touring-3000</c:v>
                  </c:pt>
                  <c:pt idx="33">
                    <c:v>Classic Vest</c:v>
                  </c:pt>
                  <c:pt idx="34">
                    <c:v>Cycling Cap</c:v>
                  </c:pt>
                  <c:pt idx="35">
                    <c:v>Half-Finger Gloves</c:v>
                  </c:pt>
                  <c:pt idx="36">
                    <c:v>Long-Sleeve Logo Jersey</c:v>
                  </c:pt>
                  <c:pt idx="37">
                    <c:v>Racing Socks</c:v>
                  </c:pt>
                  <c:pt idx="38">
                    <c:v>Short-Sleeve Classic Jersey</c:v>
                  </c:pt>
                  <c:pt idx="39">
                    <c:v>Women's Mountain Shorts</c:v>
                  </c:pt>
                </c:lvl>
                <c:lvl>
                  <c:pt idx="0">
                    <c:v>Accessories</c:v>
                  </c:pt>
                  <c:pt idx="20">
                    <c:v>Bikes</c:v>
                  </c:pt>
                  <c:pt idx="33">
                    <c:v>Clothing</c:v>
                  </c:pt>
                </c:lvl>
              </c:multiLvlStrCache>
            </c:multiLvlStrRef>
          </c:cat>
          <c:val>
            <c:numRef>
              <c:f>Calculations!$O$47:$O$90</c:f>
              <c:numCache>
                <c:formatCode>[&gt;=1000000]\$0.0,,"M";[&gt;=1000]0.0,"K";0</c:formatCode>
                <c:ptCount val="40"/>
                <c:pt idx="20">
                  <c:v>317</c:v>
                </c:pt>
                <c:pt idx="21">
                  <c:v>568</c:v>
                </c:pt>
                <c:pt idx="24">
                  <c:v>1161</c:v>
                </c:pt>
                <c:pt idx="25">
                  <c:v>1001</c:v>
                </c:pt>
                <c:pt idx="27">
                  <c:v>218</c:v>
                </c:pt>
                <c:pt idx="28">
                  <c:v>574</c:v>
                </c:pt>
              </c:numCache>
            </c:numRef>
          </c:val>
          <c:extLst>
            <c:ext xmlns:c16="http://schemas.microsoft.com/office/drawing/2014/chart" uri="{C3380CC4-5D6E-409C-BE32-E72D297353CC}">
              <c16:uniqueId val="{00000022-2C7B-4353-8954-5DA5CBD23643}"/>
            </c:ext>
          </c:extLst>
        </c:ser>
        <c:ser>
          <c:idx val="1"/>
          <c:order val="1"/>
          <c:tx>
            <c:strRef>
              <c:f>Calculations!$P$45:$P$46</c:f>
              <c:strCache>
                <c:ptCount val="1"/>
                <c:pt idx="0">
                  <c:v>2016</c:v>
                </c:pt>
              </c:strCache>
            </c:strRef>
          </c:tx>
          <c:spPr>
            <a:solidFill>
              <a:srgbClr val="FF61CF"/>
            </a:solidFill>
            <a:ln>
              <a:noFill/>
            </a:ln>
            <a:effectLst/>
          </c:spPr>
          <c:invertIfNegative val="0"/>
          <c:cat>
            <c:multiLvlStrRef>
              <c:f>Calculations!$N$47:$N$90</c:f>
              <c:multiLvlStrCache>
                <c:ptCount val="40"/>
                <c:lvl>
                  <c:pt idx="0">
                    <c:v>All-Purpose Bike Stand</c:v>
                  </c:pt>
                  <c:pt idx="1">
                    <c:v>Bike Wash</c:v>
                  </c:pt>
                  <c:pt idx="2">
                    <c:v>Fender Set - Mountain</c:v>
                  </c:pt>
                  <c:pt idx="3">
                    <c:v>Hitch Rack - 4-Bike</c:v>
                  </c:pt>
                  <c:pt idx="4">
                    <c:v>HL Mountain Tire</c:v>
                  </c:pt>
                  <c:pt idx="5">
                    <c:v>HL Road Tire</c:v>
                  </c:pt>
                  <c:pt idx="6">
                    <c:v>Hydration Pack</c:v>
                  </c:pt>
                  <c:pt idx="7">
                    <c:v>LL Mountain Tire</c:v>
                  </c:pt>
                  <c:pt idx="8">
                    <c:v>LL Road Tire</c:v>
                  </c:pt>
                  <c:pt idx="9">
                    <c:v>ML Mountain Tire</c:v>
                  </c:pt>
                  <c:pt idx="10">
                    <c:v>ML Road Tire</c:v>
                  </c:pt>
                  <c:pt idx="11">
                    <c:v>Mountain Bottle Cage</c:v>
                  </c:pt>
                  <c:pt idx="12">
                    <c:v>Mountain Tire Tube</c:v>
                  </c:pt>
                  <c:pt idx="13">
                    <c:v>Patch kit</c:v>
                  </c:pt>
                  <c:pt idx="14">
                    <c:v>Road Bottle Cage</c:v>
                  </c:pt>
                  <c:pt idx="15">
                    <c:v>Road Tire Tube</c:v>
                  </c:pt>
                  <c:pt idx="16">
                    <c:v>Sport-100</c:v>
                  </c:pt>
                  <c:pt idx="17">
                    <c:v>Touring Tire</c:v>
                  </c:pt>
                  <c:pt idx="18">
                    <c:v>Touring Tire Tube</c:v>
                  </c:pt>
                  <c:pt idx="19">
                    <c:v>Water Bottle</c:v>
                  </c:pt>
                  <c:pt idx="20">
                    <c:v>Mountain-100</c:v>
                  </c:pt>
                  <c:pt idx="21">
                    <c:v>Mountain-200</c:v>
                  </c:pt>
                  <c:pt idx="22">
                    <c:v>Mountain-400-W</c:v>
                  </c:pt>
                  <c:pt idx="23">
                    <c:v>Mountain-500</c:v>
                  </c:pt>
                  <c:pt idx="24">
                    <c:v>Road-150</c:v>
                  </c:pt>
                  <c:pt idx="25">
                    <c:v>Road-250</c:v>
                  </c:pt>
                  <c:pt idx="26">
                    <c:v>Road-350-W</c:v>
                  </c:pt>
                  <c:pt idx="27">
                    <c:v>Road-550-W</c:v>
                  </c:pt>
                  <c:pt idx="28">
                    <c:v>Road-650</c:v>
                  </c:pt>
                  <c:pt idx="29">
                    <c:v>Road-750</c:v>
                  </c:pt>
                  <c:pt idx="30">
                    <c:v>Touring-1000</c:v>
                  </c:pt>
                  <c:pt idx="31">
                    <c:v>Touring-2000</c:v>
                  </c:pt>
                  <c:pt idx="32">
                    <c:v>Touring-3000</c:v>
                  </c:pt>
                  <c:pt idx="33">
                    <c:v>Classic Vest</c:v>
                  </c:pt>
                  <c:pt idx="34">
                    <c:v>Cycling Cap</c:v>
                  </c:pt>
                  <c:pt idx="35">
                    <c:v>Half-Finger Gloves</c:v>
                  </c:pt>
                  <c:pt idx="36">
                    <c:v>Long-Sleeve Logo Jersey</c:v>
                  </c:pt>
                  <c:pt idx="37">
                    <c:v>Racing Socks</c:v>
                  </c:pt>
                  <c:pt idx="38">
                    <c:v>Short-Sleeve Classic Jersey</c:v>
                  </c:pt>
                  <c:pt idx="39">
                    <c:v>Women's Mountain Shorts</c:v>
                  </c:pt>
                </c:lvl>
                <c:lvl>
                  <c:pt idx="0">
                    <c:v>Accessories</c:v>
                  </c:pt>
                  <c:pt idx="20">
                    <c:v>Bikes</c:v>
                  </c:pt>
                  <c:pt idx="33">
                    <c:v>Clothing</c:v>
                  </c:pt>
                </c:lvl>
              </c:multiLvlStrCache>
            </c:multiLvlStrRef>
          </c:cat>
          <c:val>
            <c:numRef>
              <c:f>Calculations!$P$47:$P$90</c:f>
              <c:numCache>
                <c:formatCode>[&gt;=1000000]\$0.0,,"M";[&gt;=1000]0.0,"K";0</c:formatCode>
                <c:ptCount val="40"/>
                <c:pt idx="0">
                  <c:v>553</c:v>
                </c:pt>
                <c:pt idx="1">
                  <c:v>1645</c:v>
                </c:pt>
                <c:pt idx="2">
                  <c:v>2388</c:v>
                </c:pt>
                <c:pt idx="3">
                  <c:v>557</c:v>
                </c:pt>
                <c:pt idx="4">
                  <c:v>1509</c:v>
                </c:pt>
                <c:pt idx="5">
                  <c:v>997</c:v>
                </c:pt>
                <c:pt idx="6">
                  <c:v>1281</c:v>
                </c:pt>
                <c:pt idx="7">
                  <c:v>761</c:v>
                </c:pt>
                <c:pt idx="8">
                  <c:v>1091</c:v>
                </c:pt>
                <c:pt idx="9">
                  <c:v>1037</c:v>
                </c:pt>
                <c:pt idx="10">
                  <c:v>980</c:v>
                </c:pt>
                <c:pt idx="11">
                  <c:v>2476</c:v>
                </c:pt>
                <c:pt idx="12">
                  <c:v>3184</c:v>
                </c:pt>
                <c:pt idx="13">
                  <c:v>5464</c:v>
                </c:pt>
                <c:pt idx="14">
                  <c:v>2561</c:v>
                </c:pt>
                <c:pt idx="15">
                  <c:v>2554</c:v>
                </c:pt>
                <c:pt idx="16">
                  <c:v>10676</c:v>
                </c:pt>
                <c:pt idx="17">
                  <c:v>794</c:v>
                </c:pt>
                <c:pt idx="18">
                  <c:v>1393</c:v>
                </c:pt>
                <c:pt idx="19">
                  <c:v>5738</c:v>
                </c:pt>
                <c:pt idx="21">
                  <c:v>2417</c:v>
                </c:pt>
                <c:pt idx="22">
                  <c:v>300</c:v>
                </c:pt>
                <c:pt idx="23">
                  <c:v>279</c:v>
                </c:pt>
                <c:pt idx="25">
                  <c:v>1297</c:v>
                </c:pt>
                <c:pt idx="26">
                  <c:v>462</c:v>
                </c:pt>
                <c:pt idx="27">
                  <c:v>872</c:v>
                </c:pt>
                <c:pt idx="28">
                  <c:v>497</c:v>
                </c:pt>
                <c:pt idx="29">
                  <c:v>907</c:v>
                </c:pt>
                <c:pt idx="30">
                  <c:v>667</c:v>
                </c:pt>
                <c:pt idx="31">
                  <c:v>253</c:v>
                </c:pt>
                <c:pt idx="32">
                  <c:v>331</c:v>
                </c:pt>
                <c:pt idx="33">
                  <c:v>851</c:v>
                </c:pt>
                <c:pt idx="34">
                  <c:v>3362</c:v>
                </c:pt>
                <c:pt idx="35">
                  <c:v>2446</c:v>
                </c:pt>
                <c:pt idx="36">
                  <c:v>2703</c:v>
                </c:pt>
                <c:pt idx="37">
                  <c:v>1013</c:v>
                </c:pt>
                <c:pt idx="38">
                  <c:v>2635</c:v>
                </c:pt>
                <c:pt idx="39">
                  <c:v>797</c:v>
                </c:pt>
              </c:numCache>
            </c:numRef>
          </c:val>
          <c:extLst>
            <c:ext xmlns:c16="http://schemas.microsoft.com/office/drawing/2014/chart" uri="{C3380CC4-5D6E-409C-BE32-E72D297353CC}">
              <c16:uniqueId val="{00000003-5BC7-4810-9008-DFDC006CEDB2}"/>
            </c:ext>
          </c:extLst>
        </c:ser>
        <c:ser>
          <c:idx val="2"/>
          <c:order val="2"/>
          <c:tx>
            <c:strRef>
              <c:f>Calculations!$Q$45:$Q$46</c:f>
              <c:strCache>
                <c:ptCount val="1"/>
                <c:pt idx="0">
                  <c:v>2017</c:v>
                </c:pt>
              </c:strCache>
            </c:strRef>
          </c:tx>
          <c:spPr>
            <a:solidFill>
              <a:srgbClr val="00DDCC"/>
            </a:solidFill>
            <a:ln>
              <a:noFill/>
            </a:ln>
            <a:effectLst/>
          </c:spPr>
          <c:invertIfNegative val="0"/>
          <c:cat>
            <c:multiLvlStrRef>
              <c:f>Calculations!$N$47:$N$90</c:f>
              <c:multiLvlStrCache>
                <c:ptCount val="40"/>
                <c:lvl>
                  <c:pt idx="0">
                    <c:v>All-Purpose Bike Stand</c:v>
                  </c:pt>
                  <c:pt idx="1">
                    <c:v>Bike Wash</c:v>
                  </c:pt>
                  <c:pt idx="2">
                    <c:v>Fender Set - Mountain</c:v>
                  </c:pt>
                  <c:pt idx="3">
                    <c:v>Hitch Rack - 4-Bike</c:v>
                  </c:pt>
                  <c:pt idx="4">
                    <c:v>HL Mountain Tire</c:v>
                  </c:pt>
                  <c:pt idx="5">
                    <c:v>HL Road Tire</c:v>
                  </c:pt>
                  <c:pt idx="6">
                    <c:v>Hydration Pack</c:v>
                  </c:pt>
                  <c:pt idx="7">
                    <c:v>LL Mountain Tire</c:v>
                  </c:pt>
                  <c:pt idx="8">
                    <c:v>LL Road Tire</c:v>
                  </c:pt>
                  <c:pt idx="9">
                    <c:v>ML Mountain Tire</c:v>
                  </c:pt>
                  <c:pt idx="10">
                    <c:v>ML Road Tire</c:v>
                  </c:pt>
                  <c:pt idx="11">
                    <c:v>Mountain Bottle Cage</c:v>
                  </c:pt>
                  <c:pt idx="12">
                    <c:v>Mountain Tire Tube</c:v>
                  </c:pt>
                  <c:pt idx="13">
                    <c:v>Patch kit</c:v>
                  </c:pt>
                  <c:pt idx="14">
                    <c:v>Road Bottle Cage</c:v>
                  </c:pt>
                  <c:pt idx="15">
                    <c:v>Road Tire Tube</c:v>
                  </c:pt>
                  <c:pt idx="16">
                    <c:v>Sport-100</c:v>
                  </c:pt>
                  <c:pt idx="17">
                    <c:v>Touring Tire</c:v>
                  </c:pt>
                  <c:pt idx="18">
                    <c:v>Touring Tire Tube</c:v>
                  </c:pt>
                  <c:pt idx="19">
                    <c:v>Water Bottle</c:v>
                  </c:pt>
                  <c:pt idx="20">
                    <c:v>Mountain-100</c:v>
                  </c:pt>
                  <c:pt idx="21">
                    <c:v>Mountain-200</c:v>
                  </c:pt>
                  <c:pt idx="22">
                    <c:v>Mountain-400-W</c:v>
                  </c:pt>
                  <c:pt idx="23">
                    <c:v>Mountain-500</c:v>
                  </c:pt>
                  <c:pt idx="24">
                    <c:v>Road-150</c:v>
                  </c:pt>
                  <c:pt idx="25">
                    <c:v>Road-250</c:v>
                  </c:pt>
                  <c:pt idx="26">
                    <c:v>Road-350-W</c:v>
                  </c:pt>
                  <c:pt idx="27">
                    <c:v>Road-550-W</c:v>
                  </c:pt>
                  <c:pt idx="28">
                    <c:v>Road-650</c:v>
                  </c:pt>
                  <c:pt idx="29">
                    <c:v>Road-750</c:v>
                  </c:pt>
                  <c:pt idx="30">
                    <c:v>Touring-1000</c:v>
                  </c:pt>
                  <c:pt idx="31">
                    <c:v>Touring-2000</c:v>
                  </c:pt>
                  <c:pt idx="32">
                    <c:v>Touring-3000</c:v>
                  </c:pt>
                  <c:pt idx="33">
                    <c:v>Classic Vest</c:v>
                  </c:pt>
                  <c:pt idx="34">
                    <c:v>Cycling Cap</c:v>
                  </c:pt>
                  <c:pt idx="35">
                    <c:v>Half-Finger Gloves</c:v>
                  </c:pt>
                  <c:pt idx="36">
                    <c:v>Long-Sleeve Logo Jersey</c:v>
                  </c:pt>
                  <c:pt idx="37">
                    <c:v>Racing Socks</c:v>
                  </c:pt>
                  <c:pt idx="38">
                    <c:v>Short-Sleeve Classic Jersey</c:v>
                  </c:pt>
                  <c:pt idx="39">
                    <c:v>Women's Mountain Shorts</c:v>
                  </c:pt>
                </c:lvl>
                <c:lvl>
                  <c:pt idx="0">
                    <c:v>Accessories</c:v>
                  </c:pt>
                  <c:pt idx="20">
                    <c:v>Bikes</c:v>
                  </c:pt>
                  <c:pt idx="33">
                    <c:v>Clothing</c:v>
                  </c:pt>
                </c:lvl>
              </c:multiLvlStrCache>
            </c:multiLvlStrRef>
          </c:cat>
          <c:val>
            <c:numRef>
              <c:f>Calculations!$Q$47:$Q$90</c:f>
              <c:numCache>
                <c:formatCode>[&gt;=1000000]\$0.0,,"M";[&gt;=1000]0.0,"K";0</c:formatCode>
                <c:ptCount val="40"/>
                <c:pt idx="0">
                  <c:v>523</c:v>
                </c:pt>
                <c:pt idx="1">
                  <c:v>2133</c:v>
                </c:pt>
                <c:pt idx="2">
                  <c:v>3163</c:v>
                </c:pt>
                <c:pt idx="3">
                  <c:v>683</c:v>
                </c:pt>
                <c:pt idx="4">
                  <c:v>2031</c:v>
                </c:pt>
                <c:pt idx="5">
                  <c:v>1031</c:v>
                </c:pt>
                <c:pt idx="6">
                  <c:v>1708</c:v>
                </c:pt>
                <c:pt idx="7">
                  <c:v>918</c:v>
                </c:pt>
                <c:pt idx="8">
                  <c:v>1316</c:v>
                </c:pt>
                <c:pt idx="9">
                  <c:v>1263</c:v>
                </c:pt>
                <c:pt idx="10">
                  <c:v>1309</c:v>
                </c:pt>
                <c:pt idx="11">
                  <c:v>3508</c:v>
                </c:pt>
                <c:pt idx="12">
                  <c:v>3894</c:v>
                </c:pt>
                <c:pt idx="13">
                  <c:v>6517</c:v>
                </c:pt>
                <c:pt idx="14">
                  <c:v>3655</c:v>
                </c:pt>
                <c:pt idx="15">
                  <c:v>3125</c:v>
                </c:pt>
                <c:pt idx="16">
                  <c:v>14013</c:v>
                </c:pt>
                <c:pt idx="17">
                  <c:v>1307</c:v>
                </c:pt>
                <c:pt idx="18">
                  <c:v>2016</c:v>
                </c:pt>
                <c:pt idx="19">
                  <c:v>7756</c:v>
                </c:pt>
                <c:pt idx="21">
                  <c:v>2110</c:v>
                </c:pt>
                <c:pt idx="22">
                  <c:v>477</c:v>
                </c:pt>
                <c:pt idx="23">
                  <c:v>419</c:v>
                </c:pt>
                <c:pt idx="25">
                  <c:v>435</c:v>
                </c:pt>
                <c:pt idx="26">
                  <c:v>882</c:v>
                </c:pt>
                <c:pt idx="27">
                  <c:v>894</c:v>
                </c:pt>
                <c:pt idx="29">
                  <c:v>1235</c:v>
                </c:pt>
                <c:pt idx="30">
                  <c:v>1196</c:v>
                </c:pt>
                <c:pt idx="31">
                  <c:v>290</c:v>
                </c:pt>
                <c:pt idx="32">
                  <c:v>463</c:v>
                </c:pt>
                <c:pt idx="33">
                  <c:v>1261</c:v>
                </c:pt>
                <c:pt idx="34">
                  <c:v>4899</c:v>
                </c:pt>
                <c:pt idx="35">
                  <c:v>3446</c:v>
                </c:pt>
                <c:pt idx="36">
                  <c:v>3707</c:v>
                </c:pt>
                <c:pt idx="37">
                  <c:v>1158</c:v>
                </c:pt>
                <c:pt idx="38">
                  <c:v>3326</c:v>
                </c:pt>
                <c:pt idx="39">
                  <c:v>997</c:v>
                </c:pt>
              </c:numCache>
            </c:numRef>
          </c:val>
          <c:extLst>
            <c:ext xmlns:c16="http://schemas.microsoft.com/office/drawing/2014/chart" uri="{C3380CC4-5D6E-409C-BE32-E72D297353CC}">
              <c16:uniqueId val="{00000004-5BC7-4810-9008-DFDC006CEDB2}"/>
            </c:ext>
          </c:extLst>
        </c:ser>
        <c:dLbls>
          <c:showLegendKey val="0"/>
          <c:showVal val="0"/>
          <c:showCatName val="0"/>
          <c:showSerName val="0"/>
          <c:showPercent val="0"/>
          <c:showBubbleSize val="0"/>
        </c:dLbls>
        <c:gapWidth val="219"/>
        <c:overlap val="-27"/>
        <c:axId val="94866735"/>
        <c:axId val="94869135"/>
      </c:barChart>
      <c:catAx>
        <c:axId val="948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94869135"/>
        <c:crosses val="autoZero"/>
        <c:auto val="1"/>
        <c:lblAlgn val="ctr"/>
        <c:lblOffset val="100"/>
        <c:noMultiLvlLbl val="0"/>
      </c:catAx>
      <c:valAx>
        <c:axId val="94869135"/>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94866735"/>
        <c:crosses val="autoZero"/>
        <c:crossBetween val="between"/>
      </c:valAx>
      <c:spPr>
        <a:noFill/>
        <a:ln>
          <a:noFill/>
        </a:ln>
        <a:effectLst/>
      </c:spPr>
    </c:plotArea>
    <c:legend>
      <c:legendPos val="t"/>
      <c:layout>
        <c:manualLayout>
          <c:xMode val="edge"/>
          <c:yMode val="edge"/>
          <c:x val="0.78461435688558456"/>
          <c:y val="1.7334779869907255E-2"/>
          <c:w val="0.15692454279128473"/>
          <c:h val="5.302010550385973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Insights.xlsx]Calculations!PivotTable9</c:name>
    <c:fmtId val="31"/>
  </c:pivotSource>
  <c:chart>
    <c:autoTitleDeleted val="1"/>
    <c:pivotFmts>
      <c:pivotFmt>
        <c:idx val="0"/>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Calculations!$S$5</c:f>
              <c:strCache>
                <c:ptCount val="1"/>
                <c:pt idx="0">
                  <c:v>Total</c:v>
                </c:pt>
              </c:strCache>
            </c:strRef>
          </c:tx>
          <c:spPr>
            <a:solidFill>
              <a:srgbClr val="C5ED33">
                <a:alpha val="80000"/>
              </a:srgbClr>
            </a:solidFill>
            <a:ln>
              <a:noFill/>
            </a:ln>
            <a:effectLst/>
          </c:spPr>
          <c:cat>
            <c:strRef>
              <c:f>Calculations!$R$6:$R$9</c:f>
              <c:strCache>
                <c:ptCount val="3"/>
                <c:pt idx="0">
                  <c:v>2015</c:v>
                </c:pt>
                <c:pt idx="1">
                  <c:v>2016</c:v>
                </c:pt>
                <c:pt idx="2">
                  <c:v>2017</c:v>
                </c:pt>
              </c:strCache>
            </c:strRef>
          </c:cat>
          <c:val>
            <c:numRef>
              <c:f>Calculations!$S$6:$S$9</c:f>
              <c:numCache>
                <c:formatCode>[&gt;=1000000]\$0.0,,"M";[&gt;=1000]\$0.0,"K";0</c:formatCode>
                <c:ptCount val="3"/>
                <c:pt idx="0">
                  <c:v>3578828.3</c:v>
                </c:pt>
                <c:pt idx="1">
                  <c:v>5936976.4000000004</c:v>
                </c:pt>
                <c:pt idx="2">
                  <c:v>5946555.4000000004</c:v>
                </c:pt>
              </c:numCache>
            </c:numRef>
          </c:val>
          <c:extLst>
            <c:ext xmlns:c16="http://schemas.microsoft.com/office/drawing/2014/chart" uri="{C3380CC4-5D6E-409C-BE32-E72D297353CC}">
              <c16:uniqueId val="{00000000-0F61-4708-84BC-5A1B1C603512}"/>
            </c:ext>
          </c:extLst>
        </c:ser>
        <c:dLbls>
          <c:showLegendKey val="0"/>
          <c:showVal val="0"/>
          <c:showCatName val="0"/>
          <c:showSerName val="0"/>
          <c:showPercent val="0"/>
          <c:showBubbleSize val="0"/>
        </c:dLbls>
        <c:axId val="2091597551"/>
        <c:axId val="2091606671"/>
      </c:areaChart>
      <c:catAx>
        <c:axId val="2091597551"/>
        <c:scaling>
          <c:orientation val="minMax"/>
        </c:scaling>
        <c:delete val="1"/>
        <c:axPos val="b"/>
        <c:numFmt formatCode="General" sourceLinked="1"/>
        <c:majorTickMark val="out"/>
        <c:minorTickMark val="none"/>
        <c:tickLblPos val="nextTo"/>
        <c:crossAx val="2091606671"/>
        <c:crosses val="autoZero"/>
        <c:auto val="1"/>
        <c:lblAlgn val="ctr"/>
        <c:lblOffset val="100"/>
        <c:noMultiLvlLbl val="0"/>
      </c:catAx>
      <c:valAx>
        <c:axId val="2091606671"/>
        <c:scaling>
          <c:orientation val="minMax"/>
        </c:scaling>
        <c:delete val="1"/>
        <c:axPos val="l"/>
        <c:numFmt formatCode="[&gt;=1000000]\$0.0,,&quot;M&quot;;[&gt;=1000]\$0.0,&quot;K&quot;;0" sourceLinked="1"/>
        <c:majorTickMark val="none"/>
        <c:minorTickMark val="none"/>
        <c:tickLblPos val="nextTo"/>
        <c:crossAx val="2091597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Insights.xlsx]Calculations!PivotTable2</c:name>
    <c:fmtId val="28"/>
  </c:pivotSource>
  <c:chart>
    <c:autoTitleDeleted val="1"/>
    <c:pivotFmts>
      <c:pivotFmt>
        <c:idx val="0"/>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ED33">
              <a:alpha val="80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Calculations!$S$11</c:f>
              <c:strCache>
                <c:ptCount val="1"/>
                <c:pt idx="0">
                  <c:v>Total</c:v>
                </c:pt>
              </c:strCache>
            </c:strRef>
          </c:tx>
          <c:spPr>
            <a:solidFill>
              <a:srgbClr val="C5ED33">
                <a:alpha val="80000"/>
              </a:srgbClr>
            </a:solidFill>
            <a:ln w="25400">
              <a:noFill/>
            </a:ln>
            <a:effectLst/>
          </c:spPr>
          <c:cat>
            <c:strRef>
              <c:f>Calculations!$R$12:$R$15</c:f>
              <c:strCache>
                <c:ptCount val="3"/>
                <c:pt idx="0">
                  <c:v>2015</c:v>
                </c:pt>
                <c:pt idx="1">
                  <c:v>2016</c:v>
                </c:pt>
                <c:pt idx="2">
                  <c:v>2017</c:v>
                </c:pt>
              </c:strCache>
            </c:strRef>
          </c:cat>
          <c:val>
            <c:numRef>
              <c:f>Calculations!$S$12:$S$15</c:f>
              <c:numCache>
                <c:formatCode>[&gt;=1000000]\$0.0,,"M";[&gt;=1000]\$0.0,"K";0</c:formatCode>
                <c:ptCount val="3"/>
                <c:pt idx="0">
                  <c:v>5716017.7999999998</c:v>
                </c:pt>
                <c:pt idx="1">
                  <c:v>8424604.9000000004</c:v>
                </c:pt>
                <c:pt idx="2">
                  <c:v>8449856.9000000004</c:v>
                </c:pt>
              </c:numCache>
            </c:numRef>
          </c:val>
          <c:extLst>
            <c:ext xmlns:c16="http://schemas.microsoft.com/office/drawing/2014/chart" uri="{C3380CC4-5D6E-409C-BE32-E72D297353CC}">
              <c16:uniqueId val="{00000002-D32E-4335-83A8-CCDA9DAF9547}"/>
            </c:ext>
          </c:extLst>
        </c:ser>
        <c:dLbls>
          <c:showLegendKey val="0"/>
          <c:showVal val="0"/>
          <c:showCatName val="0"/>
          <c:showSerName val="0"/>
          <c:showPercent val="0"/>
          <c:showBubbleSize val="0"/>
        </c:dLbls>
        <c:axId val="2025870607"/>
        <c:axId val="2025875887"/>
      </c:areaChart>
      <c:catAx>
        <c:axId val="2025870607"/>
        <c:scaling>
          <c:orientation val="minMax"/>
        </c:scaling>
        <c:delete val="1"/>
        <c:axPos val="b"/>
        <c:numFmt formatCode="General" sourceLinked="1"/>
        <c:majorTickMark val="out"/>
        <c:minorTickMark val="none"/>
        <c:tickLblPos val="nextTo"/>
        <c:crossAx val="2025875887"/>
        <c:crosses val="autoZero"/>
        <c:auto val="1"/>
        <c:lblAlgn val="ctr"/>
        <c:lblOffset val="100"/>
        <c:noMultiLvlLbl val="0"/>
      </c:catAx>
      <c:valAx>
        <c:axId val="2025875887"/>
        <c:scaling>
          <c:orientation val="minMax"/>
        </c:scaling>
        <c:delete val="1"/>
        <c:axPos val="l"/>
        <c:numFmt formatCode="[&gt;=1000000]\$0.0,,&quot;M&quot;;[&gt;=1000]\$0.0,&quot;K&quot;;0" sourceLinked="1"/>
        <c:majorTickMark val="none"/>
        <c:minorTickMark val="none"/>
        <c:tickLblPos val="nextTo"/>
        <c:crossAx val="20258706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Insights.xlsx]Calculations!PivotTable1</c:name>
    <c:fmtId val="26"/>
  </c:pivotSource>
  <c:chart>
    <c:autoTitleDeleted val="1"/>
    <c:pivotFmts>
      <c:pivotFmt>
        <c:idx val="0"/>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ED33">
              <a:alpha val="80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Calculations!$V$5</c:f>
              <c:strCache>
                <c:ptCount val="1"/>
                <c:pt idx="0">
                  <c:v>Total</c:v>
                </c:pt>
              </c:strCache>
            </c:strRef>
          </c:tx>
          <c:spPr>
            <a:solidFill>
              <a:srgbClr val="C5ED33">
                <a:alpha val="80000"/>
              </a:srgbClr>
            </a:solidFill>
            <a:ln w="25400">
              <a:noFill/>
            </a:ln>
            <a:effectLst/>
          </c:spPr>
          <c:cat>
            <c:strRef>
              <c:f>Calculations!$U$6:$U$9</c:f>
              <c:strCache>
                <c:ptCount val="3"/>
                <c:pt idx="0">
                  <c:v>2015</c:v>
                </c:pt>
                <c:pt idx="1">
                  <c:v>2016</c:v>
                </c:pt>
                <c:pt idx="2">
                  <c:v>2017</c:v>
                </c:pt>
              </c:strCache>
            </c:strRef>
          </c:cat>
          <c:val>
            <c:numRef>
              <c:f>Calculations!$V$6:$V$9</c:f>
              <c:numCache>
                <c:formatCode>[&gt;=1000000]\$0.0,,"M";[&gt;=1000]\$0.0,"K";0</c:formatCode>
                <c:ptCount val="3"/>
                <c:pt idx="0">
                  <c:v>9294846.0999999996</c:v>
                </c:pt>
                <c:pt idx="1">
                  <c:v>14361581.300000001</c:v>
                </c:pt>
                <c:pt idx="2">
                  <c:v>14396412.300000001</c:v>
                </c:pt>
              </c:numCache>
            </c:numRef>
          </c:val>
          <c:extLst>
            <c:ext xmlns:c16="http://schemas.microsoft.com/office/drawing/2014/chart" uri="{C3380CC4-5D6E-409C-BE32-E72D297353CC}">
              <c16:uniqueId val="{00000002-B8FE-4879-AC04-12A681AFAFCB}"/>
            </c:ext>
          </c:extLst>
        </c:ser>
        <c:dLbls>
          <c:showLegendKey val="0"/>
          <c:showVal val="0"/>
          <c:showCatName val="0"/>
          <c:showSerName val="0"/>
          <c:showPercent val="0"/>
          <c:showBubbleSize val="0"/>
        </c:dLbls>
        <c:axId val="1836672303"/>
        <c:axId val="2091598991"/>
      </c:areaChart>
      <c:catAx>
        <c:axId val="1836672303"/>
        <c:scaling>
          <c:orientation val="minMax"/>
        </c:scaling>
        <c:delete val="1"/>
        <c:axPos val="b"/>
        <c:numFmt formatCode="General" sourceLinked="1"/>
        <c:majorTickMark val="out"/>
        <c:minorTickMark val="none"/>
        <c:tickLblPos val="nextTo"/>
        <c:crossAx val="2091598991"/>
        <c:crosses val="autoZero"/>
        <c:auto val="1"/>
        <c:lblAlgn val="ctr"/>
        <c:lblOffset val="100"/>
        <c:noMultiLvlLbl val="0"/>
      </c:catAx>
      <c:valAx>
        <c:axId val="2091598991"/>
        <c:scaling>
          <c:orientation val="minMax"/>
        </c:scaling>
        <c:delete val="1"/>
        <c:axPos val="l"/>
        <c:numFmt formatCode="[&gt;=1000000]\$0.0,,&quot;M&quot;;[&gt;=1000]\$0.0,&quot;K&quot;;0" sourceLinked="1"/>
        <c:majorTickMark val="none"/>
        <c:minorTickMark val="none"/>
        <c:tickLblPos val="nextTo"/>
        <c:crossAx val="1836672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Insights.xlsx]Calculations!PivotTable3</c:name>
    <c:fmtId val="28"/>
  </c:pivotSource>
  <c:chart>
    <c:autoTitleDeleted val="1"/>
    <c:pivotFmts>
      <c:pivotFmt>
        <c:idx val="0"/>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5ED33">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ED33">
              <a:alpha val="80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Calculations!$V$11</c:f>
              <c:strCache>
                <c:ptCount val="1"/>
                <c:pt idx="0">
                  <c:v>Total</c:v>
                </c:pt>
              </c:strCache>
            </c:strRef>
          </c:tx>
          <c:spPr>
            <a:solidFill>
              <a:srgbClr val="C5ED33">
                <a:alpha val="80000"/>
              </a:srgbClr>
            </a:solidFill>
            <a:ln w="25400">
              <a:noFill/>
            </a:ln>
            <a:effectLst/>
          </c:spPr>
          <c:cat>
            <c:strRef>
              <c:f>Calculations!$U$12:$U$15</c:f>
              <c:strCache>
                <c:ptCount val="3"/>
                <c:pt idx="0">
                  <c:v>2015</c:v>
                </c:pt>
                <c:pt idx="1">
                  <c:v>2016</c:v>
                </c:pt>
                <c:pt idx="2">
                  <c:v>2017</c:v>
                </c:pt>
              </c:strCache>
            </c:strRef>
          </c:cat>
          <c:val>
            <c:numRef>
              <c:f>Calculations!$V$12:$V$15</c:f>
              <c:numCache>
                <c:formatCode>[&gt;=1000000]0.0,,"M";[&gt;=1000]0.0,"K";0</c:formatCode>
                <c:ptCount val="3"/>
                <c:pt idx="0">
                  <c:v>3839</c:v>
                </c:pt>
                <c:pt idx="1">
                  <c:v>69728</c:v>
                </c:pt>
                <c:pt idx="2">
                  <c:v>89064</c:v>
                </c:pt>
              </c:numCache>
            </c:numRef>
          </c:val>
          <c:extLst>
            <c:ext xmlns:c16="http://schemas.microsoft.com/office/drawing/2014/chart" uri="{C3380CC4-5D6E-409C-BE32-E72D297353CC}">
              <c16:uniqueId val="{00000002-8B3D-4C75-9B87-C996A0AD2700}"/>
            </c:ext>
          </c:extLst>
        </c:ser>
        <c:dLbls>
          <c:showLegendKey val="0"/>
          <c:showVal val="0"/>
          <c:showCatName val="0"/>
          <c:showSerName val="0"/>
          <c:showPercent val="0"/>
          <c:showBubbleSize val="0"/>
        </c:dLbls>
        <c:axId val="2025880207"/>
        <c:axId val="1838597743"/>
      </c:areaChart>
      <c:catAx>
        <c:axId val="2025880207"/>
        <c:scaling>
          <c:orientation val="minMax"/>
        </c:scaling>
        <c:delete val="1"/>
        <c:axPos val="b"/>
        <c:numFmt formatCode="General" sourceLinked="1"/>
        <c:majorTickMark val="out"/>
        <c:minorTickMark val="none"/>
        <c:tickLblPos val="nextTo"/>
        <c:crossAx val="1838597743"/>
        <c:crosses val="autoZero"/>
        <c:auto val="1"/>
        <c:lblAlgn val="ctr"/>
        <c:lblOffset val="100"/>
        <c:noMultiLvlLbl val="0"/>
      </c:catAx>
      <c:valAx>
        <c:axId val="1838597743"/>
        <c:scaling>
          <c:orientation val="minMax"/>
        </c:scaling>
        <c:delete val="1"/>
        <c:axPos val="l"/>
        <c:numFmt formatCode="[&gt;=1000000]0.0,,&quot;M&quot;;[&gt;=1000]0.0,&quot;K&quot;;0" sourceLinked="1"/>
        <c:majorTickMark val="none"/>
        <c:minorTickMark val="none"/>
        <c:tickLblPos val="nextTo"/>
        <c:crossAx val="2025880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Business Insights.xlsx]Calculations!PivotTable17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6B9"/>
          </a:solidFill>
          <a:ln>
            <a:solidFill>
              <a:srgbClr val="FFD6B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1CF"/>
          </a:solidFill>
          <a:ln>
            <a:solidFill>
              <a:srgbClr val="FF61C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DDCC"/>
          </a:solidFill>
          <a:ln>
            <a:solidFill>
              <a:srgbClr val="00DDC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Calculations!$C$46:$C$47</c:f>
              <c:strCache>
                <c:ptCount val="1"/>
                <c:pt idx="0">
                  <c:v>2015</c:v>
                </c:pt>
              </c:strCache>
            </c:strRef>
          </c:tx>
          <c:spPr>
            <a:solidFill>
              <a:srgbClr val="FFD6B9"/>
            </a:solidFill>
            <a:ln>
              <a:solidFill>
                <a:srgbClr val="FFD6B9"/>
              </a:solidFill>
            </a:ln>
            <a:effectLst/>
          </c:spPr>
          <c:invertIfNegative val="0"/>
          <c:cat>
            <c:strRef>
              <c:f>Calculations!$B$48:$B$58</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Calculations!$C$48:$C$58</c:f>
              <c:numCache>
                <c:formatCode>[&gt;=1000000]\$0.0,,"M";[&gt;=1000]\$0.0,"K";0</c:formatCode>
                <c:ptCount val="10"/>
                <c:pt idx="0">
                  <c:v>3077086.86</c:v>
                </c:pt>
                <c:pt idx="1">
                  <c:v>892377.42</c:v>
                </c:pt>
                <c:pt idx="3">
                  <c:v>730692.39</c:v>
                </c:pt>
                <c:pt idx="4">
                  <c:v>700819.79</c:v>
                </c:pt>
                <c:pt idx="6">
                  <c:v>1238920.75</c:v>
                </c:pt>
                <c:pt idx="7">
                  <c:v>1398.2</c:v>
                </c:pt>
                <c:pt idx="8">
                  <c:v>1822671.51</c:v>
                </c:pt>
                <c:pt idx="9">
                  <c:v>830879.45</c:v>
                </c:pt>
              </c:numCache>
            </c:numRef>
          </c:val>
          <c:extLst>
            <c:ext xmlns:c16="http://schemas.microsoft.com/office/drawing/2014/chart" uri="{C3380CC4-5D6E-409C-BE32-E72D297353CC}">
              <c16:uniqueId val="{00000003-601B-4503-89E2-2834ECCCD833}"/>
            </c:ext>
          </c:extLst>
        </c:ser>
        <c:ser>
          <c:idx val="1"/>
          <c:order val="1"/>
          <c:tx>
            <c:strRef>
              <c:f>Calculations!$D$46:$D$47</c:f>
              <c:strCache>
                <c:ptCount val="1"/>
                <c:pt idx="0">
                  <c:v>2016</c:v>
                </c:pt>
              </c:strCache>
            </c:strRef>
          </c:tx>
          <c:spPr>
            <a:solidFill>
              <a:srgbClr val="FF61CF"/>
            </a:solidFill>
            <a:ln>
              <a:solidFill>
                <a:srgbClr val="FF61CF"/>
              </a:solidFill>
            </a:ln>
            <a:effectLst/>
          </c:spPr>
          <c:invertIfNegative val="0"/>
          <c:cat>
            <c:strRef>
              <c:f>Calculations!$B$48:$B$58</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Calculations!$D$48:$D$58</c:f>
              <c:numCache>
                <c:formatCode>[&gt;=1000000]\$0.0,,"M";[&gt;=1000]\$0.0,"K";0</c:formatCode>
                <c:ptCount val="10"/>
                <c:pt idx="0">
                  <c:v>4342825.29</c:v>
                </c:pt>
                <c:pt idx="1">
                  <c:v>855104.93</c:v>
                </c:pt>
                <c:pt idx="2">
                  <c:v>5280.3</c:v>
                </c:pt>
                <c:pt idx="3">
                  <c:v>1518273.06</c:v>
                </c:pt>
                <c:pt idx="4">
                  <c:v>1553172.58</c:v>
                </c:pt>
                <c:pt idx="5">
                  <c:v>6259.15</c:v>
                </c:pt>
                <c:pt idx="6">
                  <c:v>1623989.05</c:v>
                </c:pt>
                <c:pt idx="7">
                  <c:v>3792.71</c:v>
                </c:pt>
                <c:pt idx="8">
                  <c:v>2594536.2200000002</c:v>
                </c:pt>
                <c:pt idx="9">
                  <c:v>1858348.36</c:v>
                </c:pt>
              </c:numCache>
            </c:numRef>
          </c:val>
          <c:extLst>
            <c:ext xmlns:c16="http://schemas.microsoft.com/office/drawing/2014/chart" uri="{C3380CC4-5D6E-409C-BE32-E72D297353CC}">
              <c16:uniqueId val="{00000003-3459-4DA5-8803-D28CE59F059C}"/>
            </c:ext>
          </c:extLst>
        </c:ser>
        <c:ser>
          <c:idx val="2"/>
          <c:order val="2"/>
          <c:tx>
            <c:strRef>
              <c:f>Calculations!$E$46:$E$47</c:f>
              <c:strCache>
                <c:ptCount val="1"/>
                <c:pt idx="0">
                  <c:v>2017</c:v>
                </c:pt>
              </c:strCache>
            </c:strRef>
          </c:tx>
          <c:spPr>
            <a:solidFill>
              <a:srgbClr val="00DDCC"/>
            </a:solidFill>
            <a:ln>
              <a:solidFill>
                <a:srgbClr val="00DDCC"/>
              </a:solidFill>
            </a:ln>
            <a:effectLst/>
          </c:spPr>
          <c:invertIfNegative val="0"/>
          <c:cat>
            <c:strRef>
              <c:f>Calculations!$B$48:$B$58</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Calculations!$E$48:$E$58</c:f>
              <c:numCache>
                <c:formatCode>[&gt;=1000000]\$0.0,,"M";[&gt;=1000]\$0.0,"K";0</c:formatCode>
                <c:ptCount val="10"/>
                <c:pt idx="0">
                  <c:v>3749118.22</c:v>
                </c:pt>
                <c:pt idx="1">
                  <c:v>1033729.22</c:v>
                </c:pt>
                <c:pt idx="2">
                  <c:v>449.21</c:v>
                </c:pt>
                <c:pt idx="3">
                  <c:v>1345917.36</c:v>
                </c:pt>
                <c:pt idx="4">
                  <c:v>1599243.22</c:v>
                </c:pt>
                <c:pt idx="5">
                  <c:v>3024.07</c:v>
                </c:pt>
                <c:pt idx="6">
                  <c:v>1945431.56</c:v>
                </c:pt>
                <c:pt idx="7">
                  <c:v>15296.54</c:v>
                </c:pt>
                <c:pt idx="8">
                  <c:v>2992952.36</c:v>
                </c:pt>
                <c:pt idx="9">
                  <c:v>1711250.85</c:v>
                </c:pt>
              </c:numCache>
            </c:numRef>
          </c:val>
          <c:extLst>
            <c:ext xmlns:c16="http://schemas.microsoft.com/office/drawing/2014/chart" uri="{C3380CC4-5D6E-409C-BE32-E72D297353CC}">
              <c16:uniqueId val="{00000004-3459-4DA5-8803-D28CE59F059C}"/>
            </c:ext>
          </c:extLst>
        </c:ser>
        <c:dLbls>
          <c:showLegendKey val="0"/>
          <c:showVal val="0"/>
          <c:showCatName val="0"/>
          <c:showSerName val="0"/>
          <c:showPercent val="0"/>
          <c:showBubbleSize val="0"/>
        </c:dLbls>
        <c:gapWidth val="219"/>
        <c:overlap val="-27"/>
        <c:axId val="401469792"/>
        <c:axId val="399499296"/>
      </c:barChart>
      <c:catAx>
        <c:axId val="40146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399499296"/>
        <c:crosses val="autoZero"/>
        <c:auto val="1"/>
        <c:lblAlgn val="ctr"/>
        <c:lblOffset val="100"/>
        <c:noMultiLvlLbl val="0"/>
      </c:catAx>
      <c:valAx>
        <c:axId val="399499296"/>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crossAx val="401469792"/>
        <c:crosses val="autoZero"/>
        <c:crossBetween val="between"/>
      </c:valAx>
      <c:spPr>
        <a:noFill/>
        <a:ln>
          <a:noFill/>
        </a:ln>
        <a:effectLst/>
      </c:spPr>
    </c:plotArea>
    <c:legend>
      <c:legendPos val="t"/>
      <c:layout>
        <c:manualLayout>
          <c:xMode val="edge"/>
          <c:yMode val="edge"/>
          <c:x val="0.64016225780766167"/>
          <c:y val="1.9266059221135425E-2"/>
          <c:w val="0.22642224695483387"/>
          <c:h val="5.3665424571449613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8DB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Tables for Analysi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Tables for Analysi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4.xml"/><Relationship Id="rId3" Type="http://schemas.openxmlformats.org/officeDocument/2006/relationships/hyperlink" Target="#'Tables for Analysis'!A1"/><Relationship Id="rId7" Type="http://schemas.openxmlformats.org/officeDocument/2006/relationships/chart" Target="../charts/chart2.xml"/><Relationship Id="rId12" Type="http://schemas.openxmlformats.org/officeDocument/2006/relationships/image" Target="../media/image6.png"/><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Dashboard!A1"/><Relationship Id="rId6" Type="http://schemas.openxmlformats.org/officeDocument/2006/relationships/image" Target="../media/image3.png"/><Relationship Id="rId11" Type="http://schemas.microsoft.com/office/2007/relationships/hdphoto" Target="../media/hdphoto1.wdp"/><Relationship Id="rId5" Type="http://schemas.openxmlformats.org/officeDocument/2006/relationships/hyperlink" Target="#Calculations!A1"/><Relationship Id="rId1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4.jpe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426013</xdr:colOff>
      <xdr:row>2</xdr:row>
      <xdr:rowOff>32152</xdr:rowOff>
    </xdr:from>
    <xdr:to>
      <xdr:col>11</xdr:col>
      <xdr:colOff>1286077</xdr:colOff>
      <xdr:row>4</xdr:row>
      <xdr:rowOff>120571</xdr:rowOff>
    </xdr:to>
    <xdr:sp macro="" textlink="">
      <xdr:nvSpPr>
        <xdr:cNvPr id="2" name="Rectangle: Rounded Corners 1">
          <a:extLst>
            <a:ext uri="{FF2B5EF4-FFF2-40B4-BE49-F238E27FC236}">
              <a16:creationId xmlns:a16="http://schemas.microsoft.com/office/drawing/2014/main" id="{EEAA233A-3EBF-4E45-955A-FF5C043B6E35}"/>
            </a:ext>
          </a:extLst>
        </xdr:cNvPr>
        <xdr:cNvSpPr/>
      </xdr:nvSpPr>
      <xdr:spPr>
        <a:xfrm>
          <a:off x="10778924" y="217025"/>
          <a:ext cx="3560824" cy="538546"/>
        </a:xfrm>
        <a:prstGeom prst="roundRect">
          <a:avLst>
            <a:gd name="adj" fmla="val 27044"/>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784311</xdr:colOff>
      <xdr:row>2</xdr:row>
      <xdr:rowOff>152641</xdr:rowOff>
    </xdr:from>
    <xdr:to>
      <xdr:col>11</xdr:col>
      <xdr:colOff>1109674</xdr:colOff>
      <xdr:row>3</xdr:row>
      <xdr:rowOff>249265</xdr:rowOff>
    </xdr:to>
    <xdr:pic>
      <xdr:nvPicPr>
        <xdr:cNvPr id="3" name="Picture 2">
          <a:hlinkClick xmlns:r="http://schemas.openxmlformats.org/officeDocument/2006/relationships" r:id="rId1"/>
          <a:extLst>
            <a:ext uri="{FF2B5EF4-FFF2-40B4-BE49-F238E27FC236}">
              <a16:creationId xmlns:a16="http://schemas.microsoft.com/office/drawing/2014/main" id="{1C8666B3-079A-4EC5-A320-9FC2B87117FE}"/>
            </a:ext>
          </a:extLst>
        </xdr:cNvPr>
        <xdr:cNvPicPr>
          <a:picLocks noChangeAspect="1"/>
        </xdr:cNvPicPr>
      </xdr:nvPicPr>
      <xdr:blipFill>
        <a:blip xmlns:r="http://schemas.openxmlformats.org/officeDocument/2006/relationships" r:embed="rId2"/>
        <a:stretch>
          <a:fillRect/>
        </a:stretch>
      </xdr:blipFill>
      <xdr:spPr>
        <a:xfrm>
          <a:off x="13837982" y="337514"/>
          <a:ext cx="325363" cy="281499"/>
        </a:xfrm>
        <a:prstGeom prst="rect">
          <a:avLst/>
        </a:prstGeom>
      </xdr:spPr>
    </xdr:pic>
    <xdr:clientData/>
  </xdr:twoCellAnchor>
  <xdr:twoCellAnchor editAs="oneCell">
    <xdr:from>
      <xdr:col>9</xdr:col>
      <xdr:colOff>646909</xdr:colOff>
      <xdr:row>2</xdr:row>
      <xdr:rowOff>160767</xdr:rowOff>
    </xdr:from>
    <xdr:to>
      <xdr:col>9</xdr:col>
      <xdr:colOff>936582</xdr:colOff>
      <xdr:row>3</xdr:row>
      <xdr:rowOff>257391</xdr:rowOff>
    </xdr:to>
    <xdr:pic>
      <xdr:nvPicPr>
        <xdr:cNvPr id="4" name="Picture 3">
          <a:hlinkClick xmlns:r="http://schemas.openxmlformats.org/officeDocument/2006/relationships" r:id="rId3"/>
          <a:extLst>
            <a:ext uri="{FF2B5EF4-FFF2-40B4-BE49-F238E27FC236}">
              <a16:creationId xmlns:a16="http://schemas.microsoft.com/office/drawing/2014/main" id="{0B93D199-84E9-40DA-BAC5-1E79045333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999820" y="345640"/>
          <a:ext cx="289673" cy="281499"/>
        </a:xfrm>
        <a:prstGeom prst="rect">
          <a:avLst/>
        </a:prstGeom>
        <a:solidFill>
          <a:srgbClr val="D8DBF4"/>
        </a:solidFill>
      </xdr:spPr>
    </xdr:pic>
    <xdr:clientData/>
  </xdr:twoCellAnchor>
  <xdr:twoCellAnchor editAs="oneCell">
    <xdr:from>
      <xdr:col>10</xdr:col>
      <xdr:colOff>515426</xdr:colOff>
      <xdr:row>2</xdr:row>
      <xdr:rowOff>144514</xdr:rowOff>
    </xdr:from>
    <xdr:to>
      <xdr:col>10</xdr:col>
      <xdr:colOff>803567</xdr:colOff>
      <xdr:row>3</xdr:row>
      <xdr:rowOff>241138</xdr:rowOff>
    </xdr:to>
    <xdr:pic>
      <xdr:nvPicPr>
        <xdr:cNvPr id="5" name="Picture 4">
          <a:hlinkClick xmlns:r="http://schemas.openxmlformats.org/officeDocument/2006/relationships" r:id="rId5"/>
          <a:extLst>
            <a:ext uri="{FF2B5EF4-FFF2-40B4-BE49-F238E27FC236}">
              <a16:creationId xmlns:a16="http://schemas.microsoft.com/office/drawing/2014/main" id="{2358D9C8-CC5F-489D-B297-6954BD8416F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2419667" y="329387"/>
          <a:ext cx="288141" cy="281499"/>
        </a:xfrm>
        <a:prstGeom prst="rect">
          <a:avLst/>
        </a:prstGeom>
        <a:solidFill>
          <a:srgbClr val="D8DBF4"/>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631825</xdr:colOff>
      <xdr:row>17</xdr:row>
      <xdr:rowOff>47625</xdr:rowOff>
    </xdr:from>
    <xdr:to>
      <xdr:col>14</xdr:col>
      <xdr:colOff>396875</xdr:colOff>
      <xdr:row>32</xdr:row>
      <xdr:rowOff>28575</xdr:rowOff>
    </xdr:to>
    <xdr:graphicFrame macro="">
      <xdr:nvGraphicFramePr>
        <xdr:cNvPr id="2" name="Chart 1">
          <a:extLst>
            <a:ext uri="{FF2B5EF4-FFF2-40B4-BE49-F238E27FC236}">
              <a16:creationId xmlns:a16="http://schemas.microsoft.com/office/drawing/2014/main" id="{F2D56E51-6C3A-2B5B-1AC5-85362D6F4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127001</xdr:colOff>
      <xdr:row>17</xdr:row>
      <xdr:rowOff>18144</xdr:rowOff>
    </xdr:from>
    <xdr:to>
      <xdr:col>13</xdr:col>
      <xdr:colOff>651161</xdr:colOff>
      <xdr:row>18</xdr:row>
      <xdr:rowOff>138568</xdr:rowOff>
    </xdr:to>
    <mc:AlternateContent xmlns:mc="http://schemas.openxmlformats.org/markup-compatibility/2006" xmlns:a14="http://schemas.microsoft.com/office/drawing/2010/main">
      <mc:Choice Requires="a14">
        <xdr:graphicFrame macro="">
          <xdr:nvGraphicFramePr>
            <xdr:cNvPr id="9" name="Year 3">
              <a:extLst>
                <a:ext uri="{FF2B5EF4-FFF2-40B4-BE49-F238E27FC236}">
                  <a16:creationId xmlns:a16="http://schemas.microsoft.com/office/drawing/2014/main" id="{597DA239-6FE8-4E5C-95D8-77DFACF0D63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039430" y="3184073"/>
              <a:ext cx="1821374" cy="383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612058</xdr:colOff>
      <xdr:row>17</xdr:row>
      <xdr:rowOff>22855</xdr:rowOff>
    </xdr:from>
    <xdr:to>
      <xdr:col>17</xdr:col>
      <xdr:colOff>142898</xdr:colOff>
      <xdr:row>18</xdr:row>
      <xdr:rowOff>140104</xdr:rowOff>
    </xdr:to>
    <mc:AlternateContent xmlns:mc="http://schemas.openxmlformats.org/markup-compatibility/2006" xmlns:a14="http://schemas.microsoft.com/office/drawing/2010/main">
      <mc:Choice Requires="a14">
        <xdr:graphicFrame macro="">
          <xdr:nvGraphicFramePr>
            <xdr:cNvPr id="10" name="Quarter 3">
              <a:extLst>
                <a:ext uri="{FF2B5EF4-FFF2-40B4-BE49-F238E27FC236}">
                  <a16:creationId xmlns:a16="http://schemas.microsoft.com/office/drawing/2014/main" id="{A8CE1BD0-10AB-4F0A-B784-D223476FA932}"/>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9111987" y="3188784"/>
              <a:ext cx="1816840" cy="38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235866</xdr:colOff>
      <xdr:row>0</xdr:row>
      <xdr:rowOff>72572</xdr:rowOff>
    </xdr:from>
    <xdr:to>
      <xdr:col>21</xdr:col>
      <xdr:colOff>163286</xdr:colOff>
      <xdr:row>2</xdr:row>
      <xdr:rowOff>166618</xdr:rowOff>
    </xdr:to>
    <xdr:sp macro="" textlink="">
      <xdr:nvSpPr>
        <xdr:cNvPr id="11" name="Rectangle: Rounded Corners 10">
          <a:extLst>
            <a:ext uri="{FF2B5EF4-FFF2-40B4-BE49-F238E27FC236}">
              <a16:creationId xmlns:a16="http://schemas.microsoft.com/office/drawing/2014/main" id="{E56F5F9D-F824-4A95-A82A-E9AF26DEEF9F}"/>
            </a:ext>
          </a:extLst>
        </xdr:cNvPr>
        <xdr:cNvSpPr/>
      </xdr:nvSpPr>
      <xdr:spPr>
        <a:xfrm>
          <a:off x="10123723" y="72572"/>
          <a:ext cx="4073063" cy="538546"/>
        </a:xfrm>
        <a:prstGeom prst="roundRect">
          <a:avLst>
            <a:gd name="adj" fmla="val 27044"/>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437425</xdr:colOff>
      <xdr:row>1</xdr:row>
      <xdr:rowOff>38845</xdr:rowOff>
    </xdr:from>
    <xdr:to>
      <xdr:col>21</xdr:col>
      <xdr:colOff>9860</xdr:colOff>
      <xdr:row>2</xdr:row>
      <xdr:rowOff>57273</xdr:rowOff>
    </xdr:to>
    <xdr:pic>
      <xdr:nvPicPr>
        <xdr:cNvPr id="12" name="Picture 11">
          <a:hlinkClick xmlns:r="http://schemas.openxmlformats.org/officeDocument/2006/relationships" r:id="rId1"/>
          <a:extLst>
            <a:ext uri="{FF2B5EF4-FFF2-40B4-BE49-F238E27FC236}">
              <a16:creationId xmlns:a16="http://schemas.microsoft.com/office/drawing/2014/main" id="{8254E772-7A4D-43A1-85D4-C66306A80DAB}"/>
            </a:ext>
          </a:extLst>
        </xdr:cNvPr>
        <xdr:cNvPicPr>
          <a:picLocks noChangeAspect="1"/>
        </xdr:cNvPicPr>
      </xdr:nvPicPr>
      <xdr:blipFill>
        <a:blip xmlns:r="http://schemas.openxmlformats.org/officeDocument/2006/relationships" r:embed="rId2"/>
        <a:stretch>
          <a:fillRect/>
        </a:stretch>
      </xdr:blipFill>
      <xdr:spPr>
        <a:xfrm>
          <a:off x="15387139" y="220274"/>
          <a:ext cx="325363" cy="281499"/>
        </a:xfrm>
        <a:prstGeom prst="rect">
          <a:avLst/>
        </a:prstGeom>
      </xdr:spPr>
    </xdr:pic>
    <xdr:clientData/>
  </xdr:twoCellAnchor>
  <xdr:twoCellAnchor editAs="oneCell">
    <xdr:from>
      <xdr:col>15</xdr:col>
      <xdr:colOff>75763</xdr:colOff>
      <xdr:row>1</xdr:row>
      <xdr:rowOff>46971</xdr:rowOff>
    </xdr:from>
    <xdr:to>
      <xdr:col>15</xdr:col>
      <xdr:colOff>365436</xdr:colOff>
      <xdr:row>2</xdr:row>
      <xdr:rowOff>65399</xdr:rowOff>
    </xdr:to>
    <xdr:pic>
      <xdr:nvPicPr>
        <xdr:cNvPr id="13" name="Picture 12">
          <a:hlinkClick xmlns:r="http://schemas.openxmlformats.org/officeDocument/2006/relationships" r:id="rId3"/>
          <a:extLst>
            <a:ext uri="{FF2B5EF4-FFF2-40B4-BE49-F238E27FC236}">
              <a16:creationId xmlns:a16="http://schemas.microsoft.com/office/drawing/2014/main" id="{A4BC04D8-7BAA-4948-9318-C93D02F0F6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1596477" y="228400"/>
          <a:ext cx="289673" cy="281499"/>
        </a:xfrm>
        <a:prstGeom prst="rect">
          <a:avLst/>
        </a:prstGeom>
        <a:solidFill>
          <a:srgbClr val="D8DBF4"/>
        </a:solidFill>
      </xdr:spPr>
    </xdr:pic>
    <xdr:clientData/>
  </xdr:twoCellAnchor>
  <xdr:twoCellAnchor editAs="oneCell">
    <xdr:from>
      <xdr:col>18</xdr:col>
      <xdr:colOff>3360</xdr:colOff>
      <xdr:row>1</xdr:row>
      <xdr:rowOff>30718</xdr:rowOff>
    </xdr:from>
    <xdr:to>
      <xdr:col>18</xdr:col>
      <xdr:colOff>291501</xdr:colOff>
      <xdr:row>2</xdr:row>
      <xdr:rowOff>49146</xdr:rowOff>
    </xdr:to>
    <xdr:pic>
      <xdr:nvPicPr>
        <xdr:cNvPr id="14" name="Picture 13">
          <a:hlinkClick xmlns:r="http://schemas.openxmlformats.org/officeDocument/2006/relationships" r:id="rId5"/>
          <a:extLst>
            <a:ext uri="{FF2B5EF4-FFF2-40B4-BE49-F238E27FC236}">
              <a16:creationId xmlns:a16="http://schemas.microsoft.com/office/drawing/2014/main" id="{5D690168-1CA1-4748-8815-0EF743F381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3410931" y="212147"/>
          <a:ext cx="288141" cy="281499"/>
        </a:xfrm>
        <a:prstGeom prst="rect">
          <a:avLst/>
        </a:prstGeom>
        <a:solidFill>
          <a:srgbClr val="D8DBF4"/>
        </a:solidFill>
      </xdr:spPr>
    </xdr:pic>
    <xdr:clientData/>
  </xdr:twoCellAnchor>
  <xdr:twoCellAnchor editAs="oneCell">
    <xdr:from>
      <xdr:col>18</xdr:col>
      <xdr:colOff>58964</xdr:colOff>
      <xdr:row>17</xdr:row>
      <xdr:rowOff>18144</xdr:rowOff>
    </xdr:from>
    <xdr:to>
      <xdr:col>21</xdr:col>
      <xdr:colOff>843645</xdr:colOff>
      <xdr:row>18</xdr:row>
      <xdr:rowOff>127001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2642BC4-2C9F-EECB-E529-424C207D4C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61535" y="3184073"/>
              <a:ext cx="3079752" cy="37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343201</xdr:colOff>
      <xdr:row>3</xdr:row>
      <xdr:rowOff>63501</xdr:rowOff>
    </xdr:from>
    <xdr:to>
      <xdr:col>28</xdr:col>
      <xdr:colOff>112107</xdr:colOff>
      <xdr:row>46</xdr:row>
      <xdr:rowOff>14353</xdr:rowOff>
    </xdr:to>
    <xdr:sp macro="" textlink="">
      <xdr:nvSpPr>
        <xdr:cNvPr id="2" name="Rectangle: Rounded Corners 1">
          <a:extLst>
            <a:ext uri="{FF2B5EF4-FFF2-40B4-BE49-F238E27FC236}">
              <a16:creationId xmlns:a16="http://schemas.microsoft.com/office/drawing/2014/main" id="{4BE032BE-8CBD-52B7-5957-245BF925592F}"/>
            </a:ext>
          </a:extLst>
        </xdr:cNvPr>
        <xdr:cNvSpPr>
          <a:spLocks noChangeAspect="1"/>
        </xdr:cNvSpPr>
      </xdr:nvSpPr>
      <xdr:spPr>
        <a:xfrm>
          <a:off x="1558772" y="607787"/>
          <a:ext cx="14355764" cy="7752280"/>
        </a:xfrm>
        <a:prstGeom prst="roundRect">
          <a:avLst>
            <a:gd name="adj" fmla="val 4139"/>
          </a:avLst>
        </a:prstGeom>
        <a:solidFill>
          <a:srgbClr val="090D29"/>
        </a:solidFill>
        <a:ln w="15875"/>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204105</xdr:colOff>
      <xdr:row>7</xdr:row>
      <xdr:rowOff>12703</xdr:rowOff>
    </xdr:from>
    <xdr:to>
      <xdr:col>25</xdr:col>
      <xdr:colOff>117929</xdr:colOff>
      <xdr:row>21</xdr:row>
      <xdr:rowOff>72571</xdr:rowOff>
    </xdr:to>
    <xdr:sp macro="" textlink="">
      <xdr:nvSpPr>
        <xdr:cNvPr id="10" name="Rectangle: Rounded Corners 9">
          <a:extLst>
            <a:ext uri="{FF2B5EF4-FFF2-40B4-BE49-F238E27FC236}">
              <a16:creationId xmlns:a16="http://schemas.microsoft.com/office/drawing/2014/main" id="{A9862B6A-27DC-4CBD-9D3B-38DD54602842}"/>
            </a:ext>
          </a:extLst>
        </xdr:cNvPr>
        <xdr:cNvSpPr/>
      </xdr:nvSpPr>
      <xdr:spPr>
        <a:xfrm>
          <a:off x="7497534" y="1282703"/>
          <a:ext cx="6599466" cy="2599868"/>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mn-lt"/>
              <a:ea typeface="+mn-ea"/>
              <a:cs typeface="+mn-cs"/>
            </a:rPr>
            <a:t>Monthly Revenue Trend</a:t>
          </a:r>
        </a:p>
      </xdr:txBody>
    </xdr:sp>
    <xdr:clientData/>
  </xdr:twoCellAnchor>
  <xdr:twoCellAnchor>
    <xdr:from>
      <xdr:col>14</xdr:col>
      <xdr:colOff>197754</xdr:colOff>
      <xdr:row>22</xdr:row>
      <xdr:rowOff>63497</xdr:rowOff>
    </xdr:from>
    <xdr:to>
      <xdr:col>27</xdr:col>
      <xdr:colOff>473880</xdr:colOff>
      <xdr:row>45</xdr:row>
      <xdr:rowOff>33710</xdr:rowOff>
    </xdr:to>
    <xdr:sp macro="" textlink="">
      <xdr:nvSpPr>
        <xdr:cNvPr id="23" name="Rectangle: Rounded Corners 22">
          <a:extLst>
            <a:ext uri="{FF2B5EF4-FFF2-40B4-BE49-F238E27FC236}">
              <a16:creationId xmlns:a16="http://schemas.microsoft.com/office/drawing/2014/main" id="{FA325AFD-8A9E-7C01-E16D-A8098DF5D14E}"/>
            </a:ext>
          </a:extLst>
        </xdr:cNvPr>
        <xdr:cNvSpPr/>
      </xdr:nvSpPr>
      <xdr:spPr>
        <a:xfrm>
          <a:off x="7491183" y="4054926"/>
          <a:ext cx="8177340" cy="4143070"/>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mn-lt"/>
              <a:ea typeface="+mn-ea"/>
              <a:cs typeface="+mn-cs"/>
            </a:rPr>
            <a:t>Product Model-wise Sales Quantity Breakdown</a:t>
          </a:r>
        </a:p>
      </xdr:txBody>
    </xdr:sp>
    <xdr:clientData/>
  </xdr:twoCellAnchor>
  <xdr:twoCellAnchor>
    <xdr:from>
      <xdr:col>4</xdr:col>
      <xdr:colOff>497415</xdr:colOff>
      <xdr:row>22</xdr:row>
      <xdr:rowOff>54426</xdr:rowOff>
    </xdr:from>
    <xdr:to>
      <xdr:col>14</xdr:col>
      <xdr:colOff>108857</xdr:colOff>
      <xdr:row>45</xdr:row>
      <xdr:rowOff>43594</xdr:rowOff>
    </xdr:to>
    <xdr:sp macro="" textlink="">
      <xdr:nvSpPr>
        <xdr:cNvPr id="24" name="Rectangle: Rounded Corners 23">
          <a:extLst>
            <a:ext uri="{FF2B5EF4-FFF2-40B4-BE49-F238E27FC236}">
              <a16:creationId xmlns:a16="http://schemas.microsoft.com/office/drawing/2014/main" id="{7747137B-3A63-09CD-B612-0C1F5223FE91}"/>
            </a:ext>
          </a:extLst>
        </xdr:cNvPr>
        <xdr:cNvSpPr/>
      </xdr:nvSpPr>
      <xdr:spPr>
        <a:xfrm>
          <a:off x="1712986" y="4045855"/>
          <a:ext cx="5689300" cy="4162025"/>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mn-lt"/>
              <a:ea typeface="+mn-ea"/>
              <a:cs typeface="+mn-cs"/>
            </a:rPr>
            <a:t>Territorial Sales Distribution</a:t>
          </a:r>
        </a:p>
      </xdr:txBody>
    </xdr:sp>
    <xdr:clientData/>
  </xdr:twoCellAnchor>
  <xdr:twoCellAnchor>
    <xdr:from>
      <xdr:col>4</xdr:col>
      <xdr:colOff>503465</xdr:colOff>
      <xdr:row>7</xdr:row>
      <xdr:rowOff>16937</xdr:rowOff>
    </xdr:from>
    <xdr:to>
      <xdr:col>9</xdr:col>
      <xdr:colOff>254000</xdr:colOff>
      <xdr:row>14</xdr:row>
      <xdr:rowOff>0</xdr:rowOff>
    </xdr:to>
    <xdr:sp macro="" textlink="">
      <xdr:nvSpPr>
        <xdr:cNvPr id="25" name="Rectangle: Rounded Corners 24">
          <a:extLst>
            <a:ext uri="{FF2B5EF4-FFF2-40B4-BE49-F238E27FC236}">
              <a16:creationId xmlns:a16="http://schemas.microsoft.com/office/drawing/2014/main" id="{A20FE087-2D12-B664-446A-5089D095D4CE}"/>
            </a:ext>
          </a:extLst>
        </xdr:cNvPr>
        <xdr:cNvSpPr/>
      </xdr:nvSpPr>
      <xdr:spPr>
        <a:xfrm>
          <a:off x="1719036" y="1286937"/>
          <a:ext cx="2789464" cy="1253063"/>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rgbClr val="D8DBF4"/>
              </a:solidFill>
            </a:rPr>
            <a:t>Sales</a:t>
          </a:r>
        </a:p>
      </xdr:txBody>
    </xdr:sp>
    <xdr:clientData/>
  </xdr:twoCellAnchor>
  <xdr:twoCellAnchor>
    <xdr:from>
      <xdr:col>9</xdr:col>
      <xdr:colOff>390071</xdr:colOff>
      <xdr:row>7</xdr:row>
      <xdr:rowOff>25404</xdr:rowOff>
    </xdr:from>
    <xdr:to>
      <xdr:col>14</xdr:col>
      <xdr:colOff>108857</xdr:colOff>
      <xdr:row>14</xdr:row>
      <xdr:rowOff>0</xdr:rowOff>
    </xdr:to>
    <xdr:sp macro="" textlink="">
      <xdr:nvSpPr>
        <xdr:cNvPr id="26" name="Rectangle: Rounded Corners 25">
          <a:extLst>
            <a:ext uri="{FF2B5EF4-FFF2-40B4-BE49-F238E27FC236}">
              <a16:creationId xmlns:a16="http://schemas.microsoft.com/office/drawing/2014/main" id="{C2C9C122-83DA-7E71-172E-C672FB5C9399}"/>
            </a:ext>
          </a:extLst>
        </xdr:cNvPr>
        <xdr:cNvSpPr/>
      </xdr:nvSpPr>
      <xdr:spPr>
        <a:xfrm>
          <a:off x="4644571" y="1295404"/>
          <a:ext cx="2757715" cy="1244596"/>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mn-lt"/>
              <a:ea typeface="+mn-ea"/>
              <a:cs typeface="+mn-cs"/>
            </a:rPr>
            <a:t>Quantity</a:t>
          </a:r>
        </a:p>
      </xdr:txBody>
    </xdr:sp>
    <xdr:clientData/>
  </xdr:twoCellAnchor>
  <xdr:twoCellAnchor>
    <xdr:from>
      <xdr:col>9</xdr:col>
      <xdr:colOff>417286</xdr:colOff>
      <xdr:row>14</xdr:row>
      <xdr:rowOff>110069</xdr:rowOff>
    </xdr:from>
    <xdr:to>
      <xdr:col>14</xdr:col>
      <xdr:colOff>99785</xdr:colOff>
      <xdr:row>21</xdr:row>
      <xdr:rowOff>63500</xdr:rowOff>
    </xdr:to>
    <xdr:sp macro="" textlink="">
      <xdr:nvSpPr>
        <xdr:cNvPr id="27" name="Rectangle: Rounded Corners 26">
          <a:extLst>
            <a:ext uri="{FF2B5EF4-FFF2-40B4-BE49-F238E27FC236}">
              <a16:creationId xmlns:a16="http://schemas.microsoft.com/office/drawing/2014/main" id="{C99296E6-24C8-1E6C-DC91-C6E104C89F19}"/>
            </a:ext>
          </a:extLst>
        </xdr:cNvPr>
        <xdr:cNvSpPr/>
      </xdr:nvSpPr>
      <xdr:spPr>
        <a:xfrm>
          <a:off x="4671786" y="2650069"/>
          <a:ext cx="2721428" cy="1223431"/>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Profit</a:t>
          </a:r>
        </a:p>
      </xdr:txBody>
    </xdr:sp>
    <xdr:clientData/>
  </xdr:twoCellAnchor>
  <xdr:twoCellAnchor>
    <xdr:from>
      <xdr:col>4</xdr:col>
      <xdr:colOff>516159</xdr:colOff>
      <xdr:row>14</xdr:row>
      <xdr:rowOff>112186</xdr:rowOff>
    </xdr:from>
    <xdr:to>
      <xdr:col>9</xdr:col>
      <xdr:colOff>253999</xdr:colOff>
      <xdr:row>21</xdr:row>
      <xdr:rowOff>72571</xdr:rowOff>
    </xdr:to>
    <xdr:sp macro="" textlink="">
      <xdr:nvSpPr>
        <xdr:cNvPr id="28" name="Rectangle: Rounded Corners 27">
          <a:extLst>
            <a:ext uri="{FF2B5EF4-FFF2-40B4-BE49-F238E27FC236}">
              <a16:creationId xmlns:a16="http://schemas.microsoft.com/office/drawing/2014/main" id="{48F2CA97-287E-A90E-199E-942A9AD6430E}"/>
            </a:ext>
          </a:extLst>
        </xdr:cNvPr>
        <xdr:cNvSpPr/>
      </xdr:nvSpPr>
      <xdr:spPr>
        <a:xfrm>
          <a:off x="1731730" y="2652186"/>
          <a:ext cx="2776769" cy="1230385"/>
        </a:xfrm>
        <a:prstGeom prst="roundRect">
          <a:avLst>
            <a:gd name="adj" fmla="val 2906"/>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Cost</a:t>
          </a:r>
        </a:p>
      </xdr:txBody>
    </xdr:sp>
    <xdr:clientData/>
  </xdr:twoCellAnchor>
  <xdr:twoCellAnchor>
    <xdr:from>
      <xdr:col>13</xdr:col>
      <xdr:colOff>130839</xdr:colOff>
      <xdr:row>1</xdr:row>
      <xdr:rowOff>0</xdr:rowOff>
    </xdr:from>
    <xdr:to>
      <xdr:col>19</xdr:col>
      <xdr:colOff>396641</xdr:colOff>
      <xdr:row>5</xdr:row>
      <xdr:rowOff>0</xdr:rowOff>
    </xdr:to>
    <xdr:sp macro="" textlink="">
      <xdr:nvSpPr>
        <xdr:cNvPr id="29" name="Rectangle: Rounded Corners 28">
          <a:extLst>
            <a:ext uri="{FF2B5EF4-FFF2-40B4-BE49-F238E27FC236}">
              <a16:creationId xmlns:a16="http://schemas.microsoft.com/office/drawing/2014/main" id="{57893D51-4F29-4A91-9004-4AD6995FE9D3}"/>
            </a:ext>
          </a:extLst>
        </xdr:cNvPr>
        <xdr:cNvSpPr/>
      </xdr:nvSpPr>
      <xdr:spPr>
        <a:xfrm>
          <a:off x="6816482" y="0"/>
          <a:ext cx="3912516" cy="725714"/>
        </a:xfrm>
        <a:prstGeom prst="roundRect">
          <a:avLst>
            <a:gd name="adj" fmla="val 27044"/>
          </a:avLst>
        </a:prstGeom>
        <a:solidFill>
          <a:srgbClr val="0E14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392108</xdr:colOff>
      <xdr:row>2</xdr:row>
      <xdr:rowOff>27213</xdr:rowOff>
    </xdr:from>
    <xdr:to>
      <xdr:col>19</xdr:col>
      <xdr:colOff>169472</xdr:colOff>
      <xdr:row>3</xdr:row>
      <xdr:rowOff>179009</xdr:rowOff>
    </xdr:to>
    <xdr:pic>
      <xdr:nvPicPr>
        <xdr:cNvPr id="5" name="Picture 4">
          <a:hlinkClick xmlns:r="http://schemas.openxmlformats.org/officeDocument/2006/relationships" r:id="rId1"/>
          <a:extLst>
            <a:ext uri="{FF2B5EF4-FFF2-40B4-BE49-F238E27FC236}">
              <a16:creationId xmlns:a16="http://schemas.microsoft.com/office/drawing/2014/main" id="{5877A3F3-2435-389C-6883-D3D7F0F20581}"/>
            </a:ext>
          </a:extLst>
        </xdr:cNvPr>
        <xdr:cNvPicPr>
          <a:picLocks noChangeAspect="1"/>
        </xdr:cNvPicPr>
      </xdr:nvPicPr>
      <xdr:blipFill>
        <a:blip xmlns:r="http://schemas.openxmlformats.org/officeDocument/2006/relationships" r:embed="rId2"/>
        <a:stretch>
          <a:fillRect/>
        </a:stretch>
      </xdr:blipFill>
      <xdr:spPr>
        <a:xfrm>
          <a:off x="10116679" y="208642"/>
          <a:ext cx="385149" cy="333224"/>
        </a:xfrm>
        <a:prstGeom prst="rect">
          <a:avLst/>
        </a:prstGeom>
      </xdr:spPr>
    </xdr:pic>
    <xdr:clientData/>
  </xdr:twoCellAnchor>
  <xdr:twoCellAnchor editAs="oneCell">
    <xdr:from>
      <xdr:col>13</xdr:col>
      <xdr:colOff>399961</xdr:colOff>
      <xdr:row>2</xdr:row>
      <xdr:rowOff>11489</xdr:rowOff>
    </xdr:from>
    <xdr:to>
      <xdr:col>14</xdr:col>
      <xdr:colOff>135075</xdr:colOff>
      <xdr:row>3</xdr:row>
      <xdr:rowOff>163285</xdr:rowOff>
    </xdr:to>
    <xdr:pic>
      <xdr:nvPicPr>
        <xdr:cNvPr id="6" name="Picture 5">
          <a:hlinkClick xmlns:r="http://schemas.openxmlformats.org/officeDocument/2006/relationships" r:id="rId3"/>
          <a:extLst>
            <a:ext uri="{FF2B5EF4-FFF2-40B4-BE49-F238E27FC236}">
              <a16:creationId xmlns:a16="http://schemas.microsoft.com/office/drawing/2014/main" id="{E8C49233-BF4F-4DC5-B85D-FB109E035FD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085604" y="192918"/>
          <a:ext cx="342901" cy="333224"/>
        </a:xfrm>
        <a:prstGeom prst="rect">
          <a:avLst/>
        </a:prstGeom>
        <a:solidFill>
          <a:srgbClr val="D8DBF4"/>
        </a:solidFill>
      </xdr:spPr>
    </xdr:pic>
    <xdr:clientData/>
  </xdr:twoCellAnchor>
  <xdr:twoCellAnchor editAs="oneCell">
    <xdr:from>
      <xdr:col>16</xdr:col>
      <xdr:colOff>96975</xdr:colOff>
      <xdr:row>2</xdr:row>
      <xdr:rowOff>19351</xdr:rowOff>
    </xdr:from>
    <xdr:to>
      <xdr:col>16</xdr:col>
      <xdr:colOff>438062</xdr:colOff>
      <xdr:row>3</xdr:row>
      <xdr:rowOff>171147</xdr:rowOff>
    </xdr:to>
    <xdr:pic>
      <xdr:nvPicPr>
        <xdr:cNvPr id="7" name="Picture 6">
          <a:hlinkClick xmlns:r="http://schemas.openxmlformats.org/officeDocument/2006/relationships" r:id="rId5"/>
          <a:extLst>
            <a:ext uri="{FF2B5EF4-FFF2-40B4-BE49-F238E27FC236}">
              <a16:creationId xmlns:a16="http://schemas.microsoft.com/office/drawing/2014/main" id="{AD4FDA35-7396-4779-B038-C565BECF99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8605975" y="200780"/>
          <a:ext cx="341087" cy="333224"/>
        </a:xfrm>
        <a:prstGeom prst="rect">
          <a:avLst/>
        </a:prstGeom>
        <a:solidFill>
          <a:srgbClr val="D8DBF4"/>
        </a:solidFill>
      </xdr:spPr>
    </xdr:pic>
    <xdr:clientData/>
  </xdr:twoCellAnchor>
  <xdr:oneCellAnchor>
    <xdr:from>
      <xdr:col>4</xdr:col>
      <xdr:colOff>539710</xdr:colOff>
      <xdr:row>5</xdr:row>
      <xdr:rowOff>15075</xdr:rowOff>
    </xdr:from>
    <xdr:ext cx="5318892" cy="374141"/>
    <xdr:sp macro="" textlink="">
      <xdr:nvSpPr>
        <xdr:cNvPr id="20" name="TextBox 19">
          <a:extLst>
            <a:ext uri="{FF2B5EF4-FFF2-40B4-BE49-F238E27FC236}">
              <a16:creationId xmlns:a16="http://schemas.microsoft.com/office/drawing/2014/main" id="{4CD9FE50-9A90-D812-D7DD-1E6DF874654A}"/>
            </a:ext>
          </a:extLst>
        </xdr:cNvPr>
        <xdr:cNvSpPr txBox="1"/>
      </xdr:nvSpPr>
      <xdr:spPr>
        <a:xfrm>
          <a:off x="1755281" y="922218"/>
          <a:ext cx="53188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solidFill>
                <a:srgbClr val="D8DBF4"/>
              </a:solidFill>
            </a:rPr>
            <a:t>Bike Portfolio Sales Performance 2015 - 2017 (1st Half)</a:t>
          </a:r>
        </a:p>
      </xdr:txBody>
    </xdr:sp>
    <xdr:clientData/>
  </xdr:oneCellAnchor>
  <xdr:twoCellAnchor editAs="oneCell">
    <xdr:from>
      <xdr:col>20</xdr:col>
      <xdr:colOff>511791</xdr:colOff>
      <xdr:row>1</xdr:row>
      <xdr:rowOff>156726</xdr:rowOff>
    </xdr:from>
    <xdr:to>
      <xdr:col>23</xdr:col>
      <xdr:colOff>587612</xdr:colOff>
      <xdr:row>4</xdr:row>
      <xdr:rowOff>912</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D751A4DC-9269-4C75-AF3E-964D2D2C4A2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788458" y="336643"/>
              <a:ext cx="1917321" cy="383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9477</xdr:colOff>
      <xdr:row>1</xdr:row>
      <xdr:rowOff>151959</xdr:rowOff>
    </xdr:from>
    <xdr:to>
      <xdr:col>27</xdr:col>
      <xdr:colOff>142163</xdr:colOff>
      <xdr:row>3</xdr:row>
      <xdr:rowOff>174398</xdr:rowOff>
    </xdr:to>
    <mc:AlternateContent xmlns:mc="http://schemas.openxmlformats.org/markup-compatibility/2006" xmlns:a14="http://schemas.microsoft.com/office/drawing/2010/main">
      <mc:Choice Requires="a14">
        <xdr:graphicFrame macro="">
          <xdr:nvGraphicFramePr>
            <xdr:cNvPr id="8" name="Quarter 2">
              <a:extLst>
                <a:ext uri="{FF2B5EF4-FFF2-40B4-BE49-F238E27FC236}">
                  <a16:creationId xmlns:a16="http://schemas.microsoft.com/office/drawing/2014/main" id="{895FAE6A-B226-4740-A6BF-8B18FA7472BC}"/>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4741477" y="331876"/>
              <a:ext cx="1974186" cy="382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254000</xdr:colOff>
      <xdr:row>7</xdr:row>
      <xdr:rowOff>56865</xdr:rowOff>
    </xdr:from>
    <xdr:to>
      <xdr:col>25</xdr:col>
      <xdr:colOff>72572</xdr:colOff>
      <xdr:row>21</xdr:row>
      <xdr:rowOff>47388</xdr:rowOff>
    </xdr:to>
    <xdr:graphicFrame macro="">
      <xdr:nvGraphicFramePr>
        <xdr:cNvPr id="9" name="Chart 8">
          <a:extLst>
            <a:ext uri="{FF2B5EF4-FFF2-40B4-BE49-F238E27FC236}">
              <a16:creationId xmlns:a16="http://schemas.microsoft.com/office/drawing/2014/main" id="{F5D2FBD1-A29D-4943-A366-37D019301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471711</xdr:colOff>
      <xdr:row>8</xdr:row>
      <xdr:rowOff>47621</xdr:rowOff>
    </xdr:from>
    <xdr:ext cx="1159869" cy="468013"/>
    <xdr:sp macro="" textlink="rev">
      <xdr:nvSpPr>
        <xdr:cNvPr id="3" name="TextBox 2">
          <a:extLst>
            <a:ext uri="{FF2B5EF4-FFF2-40B4-BE49-F238E27FC236}">
              <a16:creationId xmlns:a16="http://schemas.microsoft.com/office/drawing/2014/main" id="{B239D674-8156-6B6B-7797-7FCF7ED89DA1}"/>
            </a:ext>
          </a:extLst>
        </xdr:cNvPr>
        <xdr:cNvSpPr txBox="1"/>
      </xdr:nvSpPr>
      <xdr:spPr>
        <a:xfrm>
          <a:off x="1687282" y="1499050"/>
          <a:ext cx="115986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F8AA3E9-0E78-4CA1-B904-611F2C8925EC}" type="TxLink">
            <a:rPr lang="en-US" sz="2400" b="1" i="0" u="none" strike="noStrike">
              <a:solidFill>
                <a:srgbClr val="D8DBF4"/>
              </a:solidFill>
              <a:latin typeface="Calibri"/>
              <a:ea typeface="Calibri"/>
              <a:cs typeface="Calibri"/>
            </a:rPr>
            <a:pPr marL="0" indent="0"/>
            <a:t>$38.1M</a:t>
          </a:fld>
          <a:endParaRPr lang="en-US" sz="2400" b="1" i="0" u="none" strike="noStrike">
            <a:solidFill>
              <a:srgbClr val="D8DBF4"/>
            </a:solidFill>
            <a:latin typeface="Calibri"/>
            <a:ea typeface="Calibri"/>
            <a:cs typeface="Calibri"/>
          </a:endParaRPr>
        </a:p>
      </xdr:txBody>
    </xdr:sp>
    <xdr:clientData/>
  </xdr:oneCellAnchor>
  <xdr:oneCellAnchor>
    <xdr:from>
      <xdr:col>9</xdr:col>
      <xdr:colOff>396190</xdr:colOff>
      <xdr:row>8</xdr:row>
      <xdr:rowOff>74154</xdr:rowOff>
    </xdr:from>
    <xdr:ext cx="1059201" cy="468013"/>
    <xdr:sp macro="" textlink="quant">
      <xdr:nvSpPr>
        <xdr:cNvPr id="11" name="TextBox 10">
          <a:extLst>
            <a:ext uri="{FF2B5EF4-FFF2-40B4-BE49-F238E27FC236}">
              <a16:creationId xmlns:a16="http://schemas.microsoft.com/office/drawing/2014/main" id="{FD8635F5-73B0-4B55-9BA7-891F2CF8ACAA}"/>
            </a:ext>
          </a:extLst>
        </xdr:cNvPr>
        <xdr:cNvSpPr txBox="1"/>
      </xdr:nvSpPr>
      <xdr:spPr>
        <a:xfrm>
          <a:off x="4650690" y="1525583"/>
          <a:ext cx="105920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B253479-31C4-4C00-928E-3346DA1D96C9}" type="TxLink">
            <a:rPr lang="en-US" sz="2400" b="1" i="0" u="none" strike="noStrike">
              <a:solidFill>
                <a:srgbClr val="D8DBF4"/>
              </a:solidFill>
              <a:latin typeface="Calibri"/>
              <a:ea typeface="Calibri"/>
              <a:cs typeface="Calibri"/>
            </a:rPr>
            <a:pPr marL="0" indent="0"/>
            <a:t>162.6K</a:t>
          </a:fld>
          <a:endParaRPr lang="en-IN" sz="2400" b="1" i="0" u="none" strike="noStrike">
            <a:solidFill>
              <a:srgbClr val="D8DBF4"/>
            </a:solidFill>
            <a:latin typeface="Calibri"/>
            <a:ea typeface="Calibri"/>
            <a:cs typeface="Calibri"/>
          </a:endParaRPr>
        </a:p>
      </xdr:txBody>
    </xdr:sp>
    <xdr:clientData/>
  </xdr:oneCellAnchor>
  <xdr:oneCellAnchor>
    <xdr:from>
      <xdr:col>9</xdr:col>
      <xdr:colOff>380774</xdr:colOff>
      <xdr:row>15</xdr:row>
      <xdr:rowOff>130171</xdr:rowOff>
    </xdr:from>
    <xdr:ext cx="1159869" cy="468013"/>
    <xdr:sp macro="" textlink="profit">
      <xdr:nvSpPr>
        <xdr:cNvPr id="12" name="TextBox 11">
          <a:extLst>
            <a:ext uri="{FF2B5EF4-FFF2-40B4-BE49-F238E27FC236}">
              <a16:creationId xmlns:a16="http://schemas.microsoft.com/office/drawing/2014/main" id="{F13FA08C-57AE-419B-B6DC-01B123AA067E}"/>
            </a:ext>
          </a:extLst>
        </xdr:cNvPr>
        <xdr:cNvSpPr txBox="1"/>
      </xdr:nvSpPr>
      <xdr:spPr>
        <a:xfrm>
          <a:off x="4635274" y="2851600"/>
          <a:ext cx="115986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934C9E81-BAA4-4D74-9AA2-62E8D09E89B1}" type="TxLink">
            <a:rPr lang="en-US" sz="2400" b="1" i="0" u="none" strike="noStrike">
              <a:solidFill>
                <a:srgbClr val="D8DBF4"/>
              </a:solidFill>
              <a:latin typeface="Calibri"/>
              <a:ea typeface="Calibri"/>
              <a:cs typeface="Calibri"/>
            </a:rPr>
            <a:pPr marL="0" indent="0"/>
            <a:t>$15.5M</a:t>
          </a:fld>
          <a:endParaRPr lang="en-IN" sz="2400" b="1" i="0" u="none" strike="noStrike">
            <a:solidFill>
              <a:srgbClr val="D8DBF4"/>
            </a:solidFill>
            <a:latin typeface="Calibri"/>
            <a:ea typeface="Calibri"/>
            <a:cs typeface="Calibri"/>
          </a:endParaRPr>
        </a:p>
      </xdr:txBody>
    </xdr:sp>
    <xdr:clientData/>
  </xdr:oneCellAnchor>
  <xdr:oneCellAnchor>
    <xdr:from>
      <xdr:col>4</xdr:col>
      <xdr:colOff>482812</xdr:colOff>
      <xdr:row>15</xdr:row>
      <xdr:rowOff>146046</xdr:rowOff>
    </xdr:from>
    <xdr:ext cx="1159869" cy="468013"/>
    <xdr:sp macro="" textlink="cost">
      <xdr:nvSpPr>
        <xdr:cNvPr id="13" name="TextBox 12">
          <a:extLst>
            <a:ext uri="{FF2B5EF4-FFF2-40B4-BE49-F238E27FC236}">
              <a16:creationId xmlns:a16="http://schemas.microsoft.com/office/drawing/2014/main" id="{EDF5AEBD-AAAF-4CF3-BE54-12E78F548426}"/>
            </a:ext>
          </a:extLst>
        </xdr:cNvPr>
        <xdr:cNvSpPr txBox="1"/>
      </xdr:nvSpPr>
      <xdr:spPr>
        <a:xfrm>
          <a:off x="1698383" y="2867475"/>
          <a:ext cx="115986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CACF354-1EC7-47D0-A241-24DC7CEF23D5}" type="TxLink">
            <a:rPr lang="en-US" sz="2400" b="1" i="0" u="none" strike="noStrike">
              <a:solidFill>
                <a:srgbClr val="D8DBF4"/>
              </a:solidFill>
              <a:latin typeface="Calibri"/>
              <a:ea typeface="Calibri"/>
              <a:cs typeface="Calibri"/>
            </a:rPr>
            <a:pPr marL="0" indent="0"/>
            <a:t>$22.6M</a:t>
          </a:fld>
          <a:endParaRPr lang="en-IN" sz="2400" b="1" i="0" u="none" strike="noStrike">
            <a:solidFill>
              <a:srgbClr val="D8DBF4"/>
            </a:solidFill>
            <a:latin typeface="Calibri"/>
            <a:ea typeface="Calibri"/>
            <a:cs typeface="Calibri"/>
          </a:endParaRPr>
        </a:p>
      </xdr:txBody>
    </xdr:sp>
    <xdr:clientData/>
  </xdr:oneCellAnchor>
  <xdr:oneCellAnchor>
    <xdr:from>
      <xdr:col>10</xdr:col>
      <xdr:colOff>37908</xdr:colOff>
      <xdr:row>10</xdr:row>
      <xdr:rowOff>161114</xdr:rowOff>
    </xdr:from>
    <xdr:ext cx="787716" cy="264560"/>
    <xdr:sp macro="" textlink="YOY15_16">
      <xdr:nvSpPr>
        <xdr:cNvPr id="15" name="TextBox 14">
          <a:extLst>
            <a:ext uri="{FF2B5EF4-FFF2-40B4-BE49-F238E27FC236}">
              <a16:creationId xmlns:a16="http://schemas.microsoft.com/office/drawing/2014/main" id="{15F117F7-9E70-380D-5277-547707AD678E}"/>
            </a:ext>
          </a:extLst>
        </xdr:cNvPr>
        <xdr:cNvSpPr txBox="1"/>
      </xdr:nvSpPr>
      <xdr:spPr>
        <a:xfrm>
          <a:off x="4890445" y="1781786"/>
          <a:ext cx="7877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48939F4-E640-40FC-9784-5962A68158E3}" type="TxLink">
            <a:rPr lang="en-US" sz="1100" b="1" i="0" u="none" strike="noStrike">
              <a:solidFill>
                <a:srgbClr val="000000"/>
              </a:solidFill>
              <a:latin typeface="Calibri"/>
              <a:ea typeface="Calibri"/>
              <a:cs typeface="Calibri"/>
            </a:rPr>
            <a:pPr marL="0" indent="0"/>
            <a:t>YOY 15-16</a:t>
          </a:fld>
          <a:endParaRPr lang="en-IN" sz="1200" b="0" i="0" u="none" strike="noStrike">
            <a:solidFill>
              <a:srgbClr val="D8DBF4"/>
            </a:solidFill>
            <a:latin typeface="Calibri"/>
            <a:ea typeface="Calibri"/>
            <a:cs typeface="Calibri"/>
          </a:endParaRPr>
        </a:p>
      </xdr:txBody>
    </xdr:sp>
    <xdr:clientData/>
  </xdr:oneCellAnchor>
  <xdr:oneCellAnchor>
    <xdr:from>
      <xdr:col>9</xdr:col>
      <xdr:colOff>399957</xdr:colOff>
      <xdr:row>10</xdr:row>
      <xdr:rowOff>167751</xdr:rowOff>
    </xdr:from>
    <xdr:ext cx="1810496" cy="264560"/>
    <xdr:sp macro="" textlink="">
      <xdr:nvSpPr>
        <xdr:cNvPr id="17" name="TextBox 16">
          <a:extLst>
            <a:ext uri="{FF2B5EF4-FFF2-40B4-BE49-F238E27FC236}">
              <a16:creationId xmlns:a16="http://schemas.microsoft.com/office/drawing/2014/main" id="{ABB17D63-7569-DA80-BE1A-3EAF380EBD6D}"/>
            </a:ext>
          </a:extLst>
        </xdr:cNvPr>
        <xdr:cNvSpPr txBox="1"/>
      </xdr:nvSpPr>
      <xdr:spPr>
        <a:xfrm>
          <a:off x="4654457" y="1982037"/>
          <a:ext cx="18104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0" i="0" u="none" strike="noStrike">
              <a:solidFill>
                <a:srgbClr val="D8DBF4"/>
              </a:solidFill>
              <a:latin typeface="Calibri"/>
              <a:ea typeface="Calibri"/>
              <a:cs typeface="Calibri"/>
            </a:rPr>
            <a:t>YOY 15-16 </a:t>
          </a:r>
          <a:r>
            <a:rPr lang="en-IN" sz="1100" b="1" i="0" u="none" strike="noStrike">
              <a:solidFill>
                <a:srgbClr val="FFFF00"/>
              </a:solidFill>
              <a:latin typeface="Calibri"/>
              <a:ea typeface="Calibri"/>
              <a:cs typeface="Calibri"/>
            </a:rPr>
            <a:t>1716.3%</a:t>
          </a:r>
          <a:r>
            <a:rPr lang="en-IN" sz="1100" b="0" i="0" u="none" strike="noStrike">
              <a:solidFill>
                <a:srgbClr val="D8DBF4"/>
              </a:solidFill>
              <a:latin typeface="Calibri"/>
              <a:ea typeface="Calibri"/>
              <a:cs typeface="Calibri"/>
            </a:rPr>
            <a:t> </a:t>
          </a:r>
          <a:r>
            <a:rPr lang="en-IN" sz="1100" b="0" i="0" u="none" strike="noStrike">
              <a:solidFill>
                <a:srgbClr val="2CDC5A"/>
              </a:solidFill>
              <a:latin typeface="Calibri"/>
              <a:ea typeface="Calibri"/>
              <a:cs typeface="Calibri"/>
            </a:rPr>
            <a:t>▲ </a:t>
          </a:r>
          <a:r>
            <a:rPr lang="en-IN" sz="1100" b="0" i="0" u="none" strike="noStrike">
              <a:solidFill>
                <a:srgbClr val="D8DBF4"/>
              </a:solidFill>
              <a:latin typeface="Calibri"/>
              <a:ea typeface="Calibri"/>
              <a:cs typeface="Calibri"/>
            </a:rPr>
            <a:t>VS LY</a:t>
          </a:r>
        </a:p>
      </xdr:txBody>
    </xdr:sp>
    <xdr:clientData/>
  </xdr:oneCellAnchor>
  <xdr:oneCellAnchor>
    <xdr:from>
      <xdr:col>9</xdr:col>
      <xdr:colOff>409036</xdr:colOff>
      <xdr:row>12</xdr:row>
      <xdr:rowOff>18142</xdr:rowOff>
    </xdr:from>
    <xdr:ext cx="1668060" cy="273903"/>
    <xdr:sp macro="" textlink="">
      <xdr:nvSpPr>
        <xdr:cNvPr id="18" name="TextBox 17">
          <a:extLst>
            <a:ext uri="{FF2B5EF4-FFF2-40B4-BE49-F238E27FC236}">
              <a16:creationId xmlns:a16="http://schemas.microsoft.com/office/drawing/2014/main" id="{AA5D17A9-6ADE-4B24-B43E-B3CD8EF8C54A}"/>
            </a:ext>
          </a:extLst>
        </xdr:cNvPr>
        <xdr:cNvSpPr txBox="1"/>
      </xdr:nvSpPr>
      <xdr:spPr>
        <a:xfrm>
          <a:off x="4663536" y="2195285"/>
          <a:ext cx="1668060" cy="273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0" i="0" u="none" strike="noStrike">
              <a:solidFill>
                <a:srgbClr val="D8DBF4"/>
              </a:solidFill>
              <a:latin typeface="+mn-lt"/>
              <a:ea typeface="Calibri"/>
              <a:cs typeface="Calibri"/>
            </a:rPr>
            <a:t>YOY 16-17 </a:t>
          </a:r>
          <a:r>
            <a:rPr lang="en-IN" sz="1100" b="0" i="0" u="none" strike="noStrike">
              <a:solidFill>
                <a:srgbClr val="FFFF00"/>
              </a:solidFill>
              <a:latin typeface="+mn-lt"/>
              <a:ea typeface="Calibri"/>
              <a:cs typeface="Calibri"/>
            </a:rPr>
            <a:t>27.7%</a:t>
          </a:r>
          <a:r>
            <a:rPr lang="en-IN" sz="1100" b="0" i="0" u="none" strike="noStrike">
              <a:solidFill>
                <a:srgbClr val="D8DBF4"/>
              </a:solidFill>
              <a:latin typeface="+mn-lt"/>
              <a:ea typeface="Calibri"/>
              <a:cs typeface="Calibri"/>
            </a:rPr>
            <a:t> </a:t>
          </a:r>
          <a:r>
            <a:rPr lang="en-IN" sz="1100" b="0" i="0" u="none" strike="noStrike">
              <a:solidFill>
                <a:srgbClr val="2CDC5A"/>
              </a:solidFill>
              <a:latin typeface="+mn-lt"/>
              <a:ea typeface="Calibri"/>
              <a:cs typeface="Calibri"/>
            </a:rPr>
            <a:t>▲ </a:t>
          </a:r>
          <a:r>
            <a:rPr lang="en-IN" sz="1100" b="0" i="0" u="none" strike="noStrike">
              <a:solidFill>
                <a:srgbClr val="D8DBF4"/>
              </a:solidFill>
              <a:latin typeface="+mn-lt"/>
              <a:ea typeface="Calibri"/>
              <a:cs typeface="Calibri"/>
            </a:rPr>
            <a:t>VS LY</a:t>
          </a:r>
        </a:p>
      </xdr:txBody>
    </xdr:sp>
    <xdr:clientData/>
  </xdr:oneCellAnchor>
  <xdr:oneCellAnchor>
    <xdr:from>
      <xdr:col>4</xdr:col>
      <xdr:colOff>482142</xdr:colOff>
      <xdr:row>11</xdr:row>
      <xdr:rowOff>18142</xdr:rowOff>
    </xdr:from>
    <xdr:ext cx="1592238" cy="235857"/>
    <xdr:sp macro="" textlink="">
      <xdr:nvSpPr>
        <xdr:cNvPr id="30" name="TextBox 29">
          <a:extLst>
            <a:ext uri="{FF2B5EF4-FFF2-40B4-BE49-F238E27FC236}">
              <a16:creationId xmlns:a16="http://schemas.microsoft.com/office/drawing/2014/main" id="{67DCAB96-5E09-5181-0FBC-59F078A2643A}"/>
            </a:ext>
          </a:extLst>
        </xdr:cNvPr>
        <xdr:cNvSpPr txBox="1"/>
      </xdr:nvSpPr>
      <xdr:spPr>
        <a:xfrm>
          <a:off x="1697713" y="2013856"/>
          <a:ext cx="1592238" cy="23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Calibri"/>
              <a:ea typeface="Calibri"/>
              <a:cs typeface="Calibri"/>
            </a:rPr>
            <a:t>YOY 15-16 </a:t>
          </a:r>
          <a:r>
            <a:rPr lang="en-IN" sz="1100" b="0" i="0" u="none" strike="noStrike">
              <a:solidFill>
                <a:srgbClr val="FFFF00"/>
              </a:solidFill>
              <a:latin typeface="Calibri"/>
              <a:ea typeface="Calibri"/>
              <a:cs typeface="Calibri"/>
            </a:rPr>
            <a:t>54.5%</a:t>
          </a:r>
          <a:r>
            <a:rPr lang="en-IN" sz="1100" b="0" i="0" u="none" strike="noStrike">
              <a:solidFill>
                <a:srgbClr val="D8DBF4"/>
              </a:solidFill>
              <a:latin typeface="Calibri"/>
              <a:ea typeface="Calibri"/>
              <a:cs typeface="Calibri"/>
            </a:rPr>
            <a:t> </a:t>
          </a:r>
          <a:r>
            <a:rPr lang="en-IN" sz="1100" b="0" i="0" u="none" strike="noStrike">
              <a:solidFill>
                <a:srgbClr val="2CDC5A"/>
              </a:solidFill>
              <a:latin typeface="Calibri"/>
              <a:ea typeface="Calibri"/>
              <a:cs typeface="Calibri"/>
            </a:rPr>
            <a:t>▲ </a:t>
          </a:r>
          <a:r>
            <a:rPr lang="en-IN" sz="1100" b="0" i="0" u="none" strike="noStrike">
              <a:solidFill>
                <a:srgbClr val="D8DBF4"/>
              </a:solidFill>
              <a:latin typeface="Calibri"/>
              <a:ea typeface="Calibri"/>
              <a:cs typeface="Calibri"/>
            </a:rPr>
            <a:t>VS LY</a:t>
          </a:r>
        </a:p>
      </xdr:txBody>
    </xdr:sp>
    <xdr:clientData/>
  </xdr:oneCellAnchor>
  <xdr:oneCellAnchor>
    <xdr:from>
      <xdr:col>4</xdr:col>
      <xdr:colOff>482141</xdr:colOff>
      <xdr:row>12</xdr:row>
      <xdr:rowOff>18143</xdr:rowOff>
    </xdr:from>
    <xdr:ext cx="1564146" cy="254000"/>
    <xdr:sp macro="" textlink="">
      <xdr:nvSpPr>
        <xdr:cNvPr id="31" name="TextBox 30">
          <a:extLst>
            <a:ext uri="{FF2B5EF4-FFF2-40B4-BE49-F238E27FC236}">
              <a16:creationId xmlns:a16="http://schemas.microsoft.com/office/drawing/2014/main" id="{120A0A12-9FF0-0B23-4C34-3912576E50EB}"/>
            </a:ext>
          </a:extLst>
        </xdr:cNvPr>
        <xdr:cNvSpPr txBox="1"/>
      </xdr:nvSpPr>
      <xdr:spPr>
        <a:xfrm>
          <a:off x="1697712" y="2195286"/>
          <a:ext cx="1564146"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Calibri"/>
              <a:ea typeface="Calibri"/>
              <a:cs typeface="Calibri"/>
            </a:rPr>
            <a:t>YOY 16-17 </a:t>
          </a:r>
          <a:r>
            <a:rPr lang="en-IN" sz="1100" b="0" i="0" u="none" strike="noStrike">
              <a:solidFill>
                <a:srgbClr val="FFFF00"/>
              </a:solidFill>
              <a:latin typeface="Calibri"/>
              <a:ea typeface="Calibri"/>
              <a:cs typeface="Calibri"/>
            </a:rPr>
            <a:t>0.2%</a:t>
          </a:r>
          <a:r>
            <a:rPr lang="en-IN" sz="1100" b="0" i="0" u="none" strike="noStrike">
              <a:solidFill>
                <a:srgbClr val="D8DBF4"/>
              </a:solidFill>
              <a:latin typeface="Calibri"/>
              <a:ea typeface="Calibri"/>
              <a:cs typeface="Calibri"/>
            </a:rPr>
            <a:t> </a:t>
          </a:r>
          <a:r>
            <a:rPr lang="en-IN" sz="1100" b="0" i="0" u="none" strike="noStrike">
              <a:solidFill>
                <a:srgbClr val="2CDC5A"/>
              </a:solidFill>
              <a:latin typeface="Calibri"/>
              <a:ea typeface="Calibri"/>
              <a:cs typeface="Calibri"/>
            </a:rPr>
            <a:t>▲ </a:t>
          </a:r>
          <a:r>
            <a:rPr lang="en-IN" sz="1100" b="0" i="0" u="none" strike="noStrike">
              <a:solidFill>
                <a:srgbClr val="D8DBF4"/>
              </a:solidFill>
              <a:latin typeface="Calibri"/>
              <a:ea typeface="Calibri"/>
              <a:cs typeface="Calibri"/>
            </a:rPr>
            <a:t>VS LY</a:t>
          </a:r>
        </a:p>
      </xdr:txBody>
    </xdr:sp>
    <xdr:clientData/>
  </xdr:oneCellAnchor>
  <xdr:oneCellAnchor>
    <xdr:from>
      <xdr:col>4</xdr:col>
      <xdr:colOff>501093</xdr:colOff>
      <xdr:row>18</xdr:row>
      <xdr:rowOff>108857</xdr:rowOff>
    </xdr:from>
    <xdr:ext cx="1667508" cy="241813"/>
    <xdr:sp macro="" textlink="">
      <xdr:nvSpPr>
        <xdr:cNvPr id="32" name="TextBox 31">
          <a:extLst>
            <a:ext uri="{FF2B5EF4-FFF2-40B4-BE49-F238E27FC236}">
              <a16:creationId xmlns:a16="http://schemas.microsoft.com/office/drawing/2014/main" id="{7976A396-2D21-D93F-B2C8-91CCE4E7D047}"/>
            </a:ext>
          </a:extLst>
        </xdr:cNvPr>
        <xdr:cNvSpPr txBox="1"/>
      </xdr:nvSpPr>
      <xdr:spPr>
        <a:xfrm>
          <a:off x="1716664" y="3374571"/>
          <a:ext cx="1667508" cy="241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Calibri"/>
              <a:ea typeface="Calibri"/>
              <a:cs typeface="Calibri"/>
            </a:rPr>
            <a:t>YOY 15-16 </a:t>
          </a:r>
          <a:r>
            <a:rPr lang="en-IN" sz="1100" b="0" i="0" u="none" strike="noStrike">
              <a:solidFill>
                <a:srgbClr val="FFFF00"/>
              </a:solidFill>
              <a:latin typeface="Calibri"/>
              <a:ea typeface="Calibri"/>
              <a:cs typeface="Calibri"/>
            </a:rPr>
            <a:t>47.4% </a:t>
          </a:r>
          <a:r>
            <a:rPr lang="en-IN" sz="1100" b="0" i="0" u="none" strike="noStrike">
              <a:solidFill>
                <a:srgbClr val="2CDC5A"/>
              </a:solidFill>
              <a:latin typeface="Calibri"/>
              <a:ea typeface="Calibri"/>
              <a:cs typeface="Calibri"/>
            </a:rPr>
            <a:t>▲</a:t>
          </a:r>
          <a:r>
            <a:rPr lang="en-IN" sz="1100" b="0" i="0" u="none" strike="noStrike">
              <a:solidFill>
                <a:srgbClr val="D8DBF4"/>
              </a:solidFill>
              <a:latin typeface="Calibri"/>
              <a:ea typeface="Calibri"/>
              <a:cs typeface="Calibri"/>
            </a:rPr>
            <a:t> VS LY</a:t>
          </a:r>
        </a:p>
      </xdr:txBody>
    </xdr:sp>
    <xdr:clientData/>
  </xdr:oneCellAnchor>
  <xdr:oneCellAnchor>
    <xdr:from>
      <xdr:col>9</xdr:col>
      <xdr:colOff>380139</xdr:colOff>
      <xdr:row>18</xdr:row>
      <xdr:rowOff>90715</xdr:rowOff>
    </xdr:from>
    <xdr:ext cx="1667508" cy="281214"/>
    <xdr:sp macro="" textlink="">
      <xdr:nvSpPr>
        <xdr:cNvPr id="33" name="TextBox 32">
          <a:extLst>
            <a:ext uri="{FF2B5EF4-FFF2-40B4-BE49-F238E27FC236}">
              <a16:creationId xmlns:a16="http://schemas.microsoft.com/office/drawing/2014/main" id="{AB50AB1A-25CF-4F17-89BE-3D2C190FC9AF}"/>
            </a:ext>
          </a:extLst>
        </xdr:cNvPr>
        <xdr:cNvSpPr txBox="1"/>
      </xdr:nvSpPr>
      <xdr:spPr>
        <a:xfrm>
          <a:off x="4634639" y="3356429"/>
          <a:ext cx="1667508" cy="281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mn-lt"/>
              <a:ea typeface="Calibri"/>
              <a:cs typeface="Calibri"/>
            </a:rPr>
            <a:t>YOY 15-16 </a:t>
          </a:r>
          <a:r>
            <a:rPr lang="en-IN" sz="1100" b="0" i="0" u="none" strike="noStrike">
              <a:solidFill>
                <a:srgbClr val="FFFF00"/>
              </a:solidFill>
              <a:latin typeface="+mn-lt"/>
              <a:ea typeface="Calibri"/>
              <a:cs typeface="Calibri"/>
            </a:rPr>
            <a:t>65.9%</a:t>
          </a:r>
          <a:r>
            <a:rPr lang="en-IN" sz="1100" b="0" i="0" u="none" strike="noStrike">
              <a:solidFill>
                <a:srgbClr val="D8DBF4"/>
              </a:solidFill>
              <a:latin typeface="+mn-lt"/>
              <a:ea typeface="Calibri"/>
              <a:cs typeface="Calibri"/>
            </a:rPr>
            <a:t> </a:t>
          </a:r>
          <a:r>
            <a:rPr lang="en-IN" sz="1100" b="0" i="0" u="none" strike="noStrike">
              <a:solidFill>
                <a:srgbClr val="2CDC5A"/>
              </a:solidFill>
              <a:latin typeface="+mn-lt"/>
              <a:ea typeface="Calibri"/>
              <a:cs typeface="Calibri"/>
            </a:rPr>
            <a:t>▲</a:t>
          </a:r>
          <a:r>
            <a:rPr lang="en-IN" sz="1100" b="0" i="0" u="none" strike="noStrike">
              <a:solidFill>
                <a:srgbClr val="D8DBF4"/>
              </a:solidFill>
              <a:latin typeface="+mn-lt"/>
              <a:ea typeface="Calibri"/>
              <a:cs typeface="Calibri"/>
            </a:rPr>
            <a:t> VS LY</a:t>
          </a:r>
        </a:p>
      </xdr:txBody>
    </xdr:sp>
    <xdr:clientData/>
  </xdr:oneCellAnchor>
  <xdr:oneCellAnchor>
    <xdr:from>
      <xdr:col>4</xdr:col>
      <xdr:colOff>505672</xdr:colOff>
      <xdr:row>19</xdr:row>
      <xdr:rowOff>117928</xdr:rowOff>
    </xdr:from>
    <xdr:ext cx="1667508" cy="263072"/>
    <xdr:sp macro="" textlink="">
      <xdr:nvSpPr>
        <xdr:cNvPr id="34" name="TextBox 33">
          <a:extLst>
            <a:ext uri="{FF2B5EF4-FFF2-40B4-BE49-F238E27FC236}">
              <a16:creationId xmlns:a16="http://schemas.microsoft.com/office/drawing/2014/main" id="{9EB47A1C-0744-4B10-9D7C-55CAC7EE1234}"/>
            </a:ext>
          </a:extLst>
        </xdr:cNvPr>
        <xdr:cNvSpPr txBox="1"/>
      </xdr:nvSpPr>
      <xdr:spPr>
        <a:xfrm>
          <a:off x="1721243" y="3565071"/>
          <a:ext cx="1667508" cy="263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mn-lt"/>
              <a:ea typeface="Calibri"/>
              <a:cs typeface="Calibri"/>
            </a:rPr>
            <a:t>YOY 16-17 </a:t>
          </a:r>
          <a:r>
            <a:rPr lang="en-IN" sz="1100" b="0" i="0" u="none" strike="noStrike">
              <a:solidFill>
                <a:srgbClr val="FFFF00"/>
              </a:solidFill>
              <a:latin typeface="+mn-lt"/>
              <a:ea typeface="Calibri"/>
              <a:cs typeface="Calibri"/>
            </a:rPr>
            <a:t>0.3%</a:t>
          </a:r>
          <a:r>
            <a:rPr lang="en-IN" sz="1100" b="0" i="0" u="none" strike="noStrike">
              <a:solidFill>
                <a:srgbClr val="D8DBF4"/>
              </a:solidFill>
              <a:latin typeface="+mn-lt"/>
              <a:ea typeface="Calibri"/>
              <a:cs typeface="Calibri"/>
            </a:rPr>
            <a:t> </a:t>
          </a:r>
          <a:r>
            <a:rPr lang="en-IN" sz="1100" b="0" i="0" u="none" strike="noStrike">
              <a:solidFill>
                <a:srgbClr val="2CDC5A"/>
              </a:solidFill>
              <a:latin typeface="+mn-lt"/>
              <a:ea typeface="Calibri"/>
              <a:cs typeface="Calibri"/>
            </a:rPr>
            <a:t>▲</a:t>
          </a:r>
          <a:r>
            <a:rPr lang="en-IN" sz="1100" b="0" i="0" u="none" strike="noStrike">
              <a:solidFill>
                <a:srgbClr val="D8DBF4"/>
              </a:solidFill>
              <a:latin typeface="+mn-lt"/>
              <a:ea typeface="Calibri"/>
              <a:cs typeface="Calibri"/>
            </a:rPr>
            <a:t> VS LY</a:t>
          </a:r>
        </a:p>
      </xdr:txBody>
    </xdr:sp>
    <xdr:clientData/>
  </xdr:oneCellAnchor>
  <xdr:oneCellAnchor>
    <xdr:from>
      <xdr:col>9</xdr:col>
      <xdr:colOff>380898</xdr:colOff>
      <xdr:row>19</xdr:row>
      <xdr:rowOff>81642</xdr:rowOff>
    </xdr:from>
    <xdr:ext cx="1667508" cy="235857"/>
    <xdr:sp macro="" textlink="">
      <xdr:nvSpPr>
        <xdr:cNvPr id="35" name="TextBox 34">
          <a:extLst>
            <a:ext uri="{FF2B5EF4-FFF2-40B4-BE49-F238E27FC236}">
              <a16:creationId xmlns:a16="http://schemas.microsoft.com/office/drawing/2014/main" id="{A51BE436-E5A1-4D70-9DD1-2ADF4449A688}"/>
            </a:ext>
          </a:extLst>
        </xdr:cNvPr>
        <xdr:cNvSpPr txBox="1"/>
      </xdr:nvSpPr>
      <xdr:spPr>
        <a:xfrm>
          <a:off x="4635398" y="3528785"/>
          <a:ext cx="1667508" cy="23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100" b="0" i="0" u="none" strike="noStrike">
              <a:solidFill>
                <a:srgbClr val="D8DBF4"/>
              </a:solidFill>
              <a:latin typeface="+mn-lt"/>
              <a:ea typeface="Calibri"/>
              <a:cs typeface="Calibri"/>
            </a:rPr>
            <a:t>YOY 16-17 </a:t>
          </a:r>
          <a:r>
            <a:rPr lang="en-IN" sz="1100" b="0" i="0" u="none" strike="noStrike">
              <a:solidFill>
                <a:srgbClr val="FFFF00"/>
              </a:solidFill>
              <a:latin typeface="+mn-lt"/>
              <a:ea typeface="Calibri"/>
              <a:cs typeface="Calibri"/>
            </a:rPr>
            <a:t>0.2%</a:t>
          </a:r>
          <a:r>
            <a:rPr lang="en-IN" sz="1100" b="0" i="0" u="none" strike="noStrike">
              <a:solidFill>
                <a:srgbClr val="D8DBF4"/>
              </a:solidFill>
              <a:latin typeface="+mn-lt"/>
              <a:ea typeface="Calibri"/>
              <a:cs typeface="Calibri"/>
            </a:rPr>
            <a:t> </a:t>
          </a:r>
          <a:r>
            <a:rPr lang="en-IN" sz="1100" b="0" i="0" u="none" strike="noStrike">
              <a:solidFill>
                <a:srgbClr val="2CDC5A"/>
              </a:solidFill>
              <a:latin typeface="+mn-lt"/>
              <a:ea typeface="Calibri"/>
              <a:cs typeface="Calibri"/>
            </a:rPr>
            <a:t>▲</a:t>
          </a:r>
          <a:r>
            <a:rPr lang="en-IN" sz="1100" b="0" i="0" u="none" strike="noStrike">
              <a:solidFill>
                <a:srgbClr val="D8DBF4"/>
              </a:solidFill>
              <a:latin typeface="+mn-lt"/>
              <a:ea typeface="Calibri"/>
              <a:cs typeface="Calibri"/>
            </a:rPr>
            <a:t> VS LY</a:t>
          </a:r>
        </a:p>
      </xdr:txBody>
    </xdr:sp>
    <xdr:clientData/>
  </xdr:oneCellAnchor>
  <xdr:twoCellAnchor>
    <xdr:from>
      <xdr:col>14</xdr:col>
      <xdr:colOff>197754</xdr:colOff>
      <xdr:row>22</xdr:row>
      <xdr:rowOff>126997</xdr:rowOff>
    </xdr:from>
    <xdr:to>
      <xdr:col>27</xdr:col>
      <xdr:colOff>454925</xdr:colOff>
      <xdr:row>44</xdr:row>
      <xdr:rowOff>139317</xdr:rowOff>
    </xdr:to>
    <xdr:graphicFrame macro="">
      <xdr:nvGraphicFramePr>
        <xdr:cNvPr id="41" name="Chart 40">
          <a:extLst>
            <a:ext uri="{FF2B5EF4-FFF2-40B4-BE49-F238E27FC236}">
              <a16:creationId xmlns:a16="http://schemas.microsoft.com/office/drawing/2014/main" id="{F68C6CB4-015F-4E53-A5BA-38429C0A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299218</xdr:colOff>
      <xdr:row>6</xdr:row>
      <xdr:rowOff>176904</xdr:rowOff>
    </xdr:from>
    <xdr:to>
      <xdr:col>27</xdr:col>
      <xdr:colOff>364947</xdr:colOff>
      <xdr:row>13</xdr:row>
      <xdr:rowOff>90714</xdr:rowOff>
    </xdr:to>
    <xdr:pic>
      <xdr:nvPicPr>
        <xdr:cNvPr id="43" name="Picture 42">
          <a:extLst>
            <a:ext uri="{FF2B5EF4-FFF2-40B4-BE49-F238E27FC236}">
              <a16:creationId xmlns:a16="http://schemas.microsoft.com/office/drawing/2014/main" id="{722123CA-004A-4D59-97A2-033417725A3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4278289" y="1265475"/>
          <a:ext cx="1281302" cy="1183810"/>
        </a:xfrm>
        <a:prstGeom prst="rect">
          <a:avLst/>
        </a:prstGeom>
        <a:solidFill>
          <a:srgbClr val="D8DBF4"/>
        </a:solidFill>
      </xdr:spPr>
    </xdr:pic>
    <xdr:clientData/>
  </xdr:twoCellAnchor>
  <xdr:twoCellAnchor editAs="oneCell">
    <xdr:from>
      <xdr:col>25</xdr:col>
      <xdr:colOff>598712</xdr:colOff>
      <xdr:row>13</xdr:row>
      <xdr:rowOff>133491</xdr:rowOff>
    </xdr:from>
    <xdr:to>
      <xdr:col>27</xdr:col>
      <xdr:colOff>132302</xdr:colOff>
      <xdr:row>17</xdr:row>
      <xdr:rowOff>27213</xdr:rowOff>
    </xdr:to>
    <xdr:pic>
      <xdr:nvPicPr>
        <xdr:cNvPr id="44" name="Picture 43">
          <a:extLst>
            <a:ext uri="{FF2B5EF4-FFF2-40B4-BE49-F238E27FC236}">
              <a16:creationId xmlns:a16="http://schemas.microsoft.com/office/drawing/2014/main" id="{1CCBD67C-F271-4AF5-84BC-8B02C45CF797}"/>
            </a:ext>
          </a:extLst>
        </xdr:cNvPr>
        <xdr:cNvPicPr>
          <a:picLocks noChangeAspect="1"/>
        </xdr:cNvPicPr>
      </xdr:nvPicPr>
      <xdr:blipFill>
        <a:blip xmlns:r="http://schemas.openxmlformats.org/officeDocument/2006/relationships" r:embed="rId10" cstate="print">
          <a:grayscl/>
          <a:extLst>
            <a:ext uri="{BEBA8EAE-BF5A-486C-A8C5-ECC9F3942E4B}">
              <a14:imgProps xmlns:a14="http://schemas.microsoft.com/office/drawing/2010/main">
                <a14:imgLayer r:embed="rId11">
                  <a14:imgEffect>
                    <a14:colorTemperature colorTemp="4700"/>
                  </a14:imgEffect>
                </a14:imgLayer>
              </a14:imgProps>
            </a:ext>
            <a:ext uri="{28A0092B-C50C-407E-A947-70E740481C1C}">
              <a14:useLocalDpi xmlns:a14="http://schemas.microsoft.com/office/drawing/2010/main" val="0"/>
            </a:ext>
          </a:extLst>
        </a:blip>
        <a:srcRect/>
        <a:stretch/>
      </xdr:blipFill>
      <xdr:spPr>
        <a:xfrm>
          <a:off x="14577783" y="2492062"/>
          <a:ext cx="749163" cy="619437"/>
        </a:xfrm>
        <a:prstGeom prst="rect">
          <a:avLst/>
        </a:prstGeom>
        <a:solidFill>
          <a:schemeClr val="tx1"/>
        </a:solidFill>
      </xdr:spPr>
    </xdr:pic>
    <xdr:clientData/>
  </xdr:twoCellAnchor>
  <xdr:twoCellAnchor editAs="oneCell">
    <xdr:from>
      <xdr:col>26</xdr:col>
      <xdr:colOff>45356</xdr:colOff>
      <xdr:row>17</xdr:row>
      <xdr:rowOff>118329</xdr:rowOff>
    </xdr:from>
    <xdr:to>
      <xdr:col>27</xdr:col>
      <xdr:colOff>55646</xdr:colOff>
      <xdr:row>21</xdr:row>
      <xdr:rowOff>19433</xdr:rowOff>
    </xdr:to>
    <xdr:pic>
      <xdr:nvPicPr>
        <xdr:cNvPr id="45" name="Picture 44">
          <a:extLst>
            <a:ext uri="{FF2B5EF4-FFF2-40B4-BE49-F238E27FC236}">
              <a16:creationId xmlns:a16="http://schemas.microsoft.com/office/drawing/2014/main" id="{0B6C56A8-718B-4864-B533-CA3B3583207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14632213" y="3202615"/>
          <a:ext cx="618076" cy="626818"/>
        </a:xfrm>
        <a:prstGeom prst="rect">
          <a:avLst/>
        </a:prstGeom>
        <a:solidFill>
          <a:schemeClr val="tx1"/>
        </a:solidFill>
      </xdr:spPr>
    </xdr:pic>
    <xdr:clientData/>
  </xdr:twoCellAnchor>
  <xdr:twoCellAnchor>
    <xdr:from>
      <xdr:col>11</xdr:col>
      <xdr:colOff>199572</xdr:colOff>
      <xdr:row>13</xdr:row>
      <xdr:rowOff>36286</xdr:rowOff>
    </xdr:from>
    <xdr:to>
      <xdr:col>14</xdr:col>
      <xdr:colOff>90714</xdr:colOff>
      <xdr:row>18</xdr:row>
      <xdr:rowOff>72572</xdr:rowOff>
    </xdr:to>
    <xdr:graphicFrame macro="">
      <xdr:nvGraphicFramePr>
        <xdr:cNvPr id="19" name="Chart 18">
          <a:extLst>
            <a:ext uri="{FF2B5EF4-FFF2-40B4-BE49-F238E27FC236}">
              <a16:creationId xmlns:a16="http://schemas.microsoft.com/office/drawing/2014/main" id="{5D76454E-0F85-4387-96DE-10BD5A39A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299357</xdr:colOff>
      <xdr:row>14</xdr:row>
      <xdr:rowOff>27213</xdr:rowOff>
    </xdr:from>
    <xdr:to>
      <xdr:col>9</xdr:col>
      <xdr:colOff>263071</xdr:colOff>
      <xdr:row>18</xdr:row>
      <xdr:rowOff>90714</xdr:rowOff>
    </xdr:to>
    <xdr:graphicFrame macro="">
      <xdr:nvGraphicFramePr>
        <xdr:cNvPr id="21" name="Chart 20">
          <a:extLst>
            <a:ext uri="{FF2B5EF4-FFF2-40B4-BE49-F238E27FC236}">
              <a16:creationId xmlns:a16="http://schemas.microsoft.com/office/drawing/2014/main" id="{2C0EC112-20C2-4E4D-9E8F-A9C5467E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317500</xdr:colOff>
      <xdr:row>6</xdr:row>
      <xdr:rowOff>45358</xdr:rowOff>
    </xdr:from>
    <xdr:to>
      <xdr:col>9</xdr:col>
      <xdr:colOff>254001</xdr:colOff>
      <xdr:row>11</xdr:row>
      <xdr:rowOff>27214</xdr:rowOff>
    </xdr:to>
    <xdr:graphicFrame macro="">
      <xdr:nvGraphicFramePr>
        <xdr:cNvPr id="22" name="Chart 21">
          <a:extLst>
            <a:ext uri="{FF2B5EF4-FFF2-40B4-BE49-F238E27FC236}">
              <a16:creationId xmlns:a16="http://schemas.microsoft.com/office/drawing/2014/main" id="{7AAF79B3-319C-47BD-8E88-E2EDCC3C6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244929</xdr:colOff>
      <xdr:row>6</xdr:row>
      <xdr:rowOff>90715</xdr:rowOff>
    </xdr:from>
    <xdr:to>
      <xdr:col>14</xdr:col>
      <xdr:colOff>163285</xdr:colOff>
      <xdr:row>11</xdr:row>
      <xdr:rowOff>0</xdr:rowOff>
    </xdr:to>
    <xdr:graphicFrame macro="">
      <xdr:nvGraphicFramePr>
        <xdr:cNvPr id="36" name="Chart 35">
          <a:extLst>
            <a:ext uri="{FF2B5EF4-FFF2-40B4-BE49-F238E27FC236}">
              <a16:creationId xmlns:a16="http://schemas.microsoft.com/office/drawing/2014/main" id="{870EA16B-965D-4477-8A47-A618F0A62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526143</xdr:colOff>
      <xdr:row>22</xdr:row>
      <xdr:rowOff>181426</xdr:rowOff>
    </xdr:from>
    <xdr:to>
      <xdr:col>14</xdr:col>
      <xdr:colOff>99785</xdr:colOff>
      <xdr:row>44</xdr:row>
      <xdr:rowOff>145140</xdr:rowOff>
    </xdr:to>
    <xdr:graphicFrame macro="">
      <xdr:nvGraphicFramePr>
        <xdr:cNvPr id="16" name="Chart 15">
          <a:extLst>
            <a:ext uri="{FF2B5EF4-FFF2-40B4-BE49-F238E27FC236}">
              <a16:creationId xmlns:a16="http://schemas.microsoft.com/office/drawing/2014/main" id="{7626A158-31DE-4224-B30F-4D188903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21</xdr:col>
      <xdr:colOff>489856</xdr:colOff>
      <xdr:row>4</xdr:row>
      <xdr:rowOff>72573</xdr:rowOff>
    </xdr:from>
    <xdr:to>
      <xdr:col>26</xdr:col>
      <xdr:colOff>530680</xdr:colOff>
      <xdr:row>6</xdr:row>
      <xdr:rowOff>90716</xdr:rowOff>
    </xdr:to>
    <mc:AlternateContent xmlns:mc="http://schemas.openxmlformats.org/markup-compatibility/2006" xmlns:a14="http://schemas.microsoft.com/office/drawing/2010/main">
      <mc:Choice Requires="a14">
        <xdr:graphicFrame macro="">
          <xdr:nvGraphicFramePr>
            <xdr:cNvPr id="37" name="Category 1">
              <a:extLst>
                <a:ext uri="{FF2B5EF4-FFF2-40B4-BE49-F238E27FC236}">
                  <a16:creationId xmlns:a16="http://schemas.microsoft.com/office/drawing/2014/main" id="{3A621E3A-EFD5-4061-B68B-254BC2AC4D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80356" y="792240"/>
              <a:ext cx="3109991" cy="377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46.986527777779" backgroundQuery="1" createdVersion="8" refreshedVersion="8" minRefreshableVersion="3" recordCount="0" supportSubquery="1" supportAdvancedDrill="1" xr:uid="{C2DD12AA-389A-4407-B48B-96B4ED885774}">
  <cacheSource type="external" connectionId="1"/>
  <cacheFields count="1">
    <cacheField name="[Cateory].[Category].[Category]" caption="Category" numFmtId="0" level="1">
      <sharedItems count="3">
        <s v="Accessories"/>
        <s v="Bikes"/>
        <s v="Clothing"/>
      </sharedItems>
    </cacheField>
  </cacheFields>
  <cacheHierarchies count="64">
    <cacheHierarchy uniqueName="[Cateory].[Category]" caption="Category" attribute="1" defaultMemberUniqueName="[Cateory].[Category].[All]" allUniqueName="[Cateory].[Category].[All]" dimensionUniqueName="[Cateory]" displayFolder="" count="2" memberValueDatatype="130" unbalanced="0">
      <fieldsUsage count="2">
        <fieldUsage x="-1"/>
        <fieldUsage x="0"/>
      </fieldsUsage>
    </cacheHierarchy>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0"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0.459460648148" createdVersion="8" refreshedVersion="8" minRefreshableVersion="3" recordCount="15" xr:uid="{122F0C22-FFEA-41BE-A31B-1AF884C0CAFF}">
  <cacheSource type="worksheet">
    <worksheetSource ref="A2:L17" sheet="Sheet1"/>
  </cacheSource>
  <cacheFields count="12">
    <cacheField name="Year" numFmtId="0">
      <sharedItems containsSemiMixedTypes="0" containsString="0" containsNumber="1" containsInteger="1" minValue="2015" maxValue="2017" count="3">
        <n v="2015"/>
        <n v="2016"/>
        <n v="2017"/>
      </sharedItems>
    </cacheField>
    <cacheField name="CategoryName" numFmtId="0">
      <sharedItems/>
    </cacheField>
    <cacheField name="SubcategoryName" numFmtId="0">
      <sharedItems/>
    </cacheField>
    <cacheField name="ModelName" numFmtId="0">
      <sharedItems count="8">
        <s v="Road-150"/>
        <s v="Road-250"/>
        <s v="Mountain-200"/>
        <s v="Mountain-100"/>
        <s v="Road-650"/>
        <s v="Touring-1000"/>
        <s v="Road-550-W"/>
        <s v="Road-350-W"/>
      </sharedItems>
    </cacheField>
    <cacheField name="NetOrders" numFmtId="0">
      <sharedItems containsSemiMixedTypes="0" containsString="0" containsNumber="1" containsInteger="1" minValue="317" maxValue="2417"/>
    </cacheField>
    <cacheField name="Cost" numFmtId="0">
      <sharedItems containsSemiMixedTypes="0" containsString="0" containsNumber="1" minValue="0.2" maxValue="2.8"/>
    </cacheField>
    <cacheField name="Perc_Cost" numFmtId="0">
      <sharedItems containsSemiMixedTypes="0" containsString="0" containsNumber="1" minValue="4.3" maxValue="45.8"/>
    </cacheField>
    <cacheField name="NetRevenue" numFmtId="0">
      <sharedItems containsSemiMixedTypes="0" containsString="0" containsNumber="1" minValue="0.4" maxValue="5"/>
    </cacheField>
    <cacheField name="Perc_Rev" numFmtId="0">
      <sharedItems containsSemiMixedTypes="0" containsString="0" containsNumber="1" minValue="4.3" maxValue="44.7"/>
    </cacheField>
    <cacheField name="NetProfit" numFmtId="0">
      <sharedItems containsSemiMixedTypes="0" containsString="0" containsNumber="1" minValue="0.2" maxValue="2.2000000000000002"/>
    </cacheField>
    <cacheField name="Perc_Profit" numFmtId="0">
      <sharedItems containsSemiMixedTypes="0" containsString="0" containsNumber="1" minValue="4.3" maxValue="42.9"/>
    </cacheField>
    <cacheField name="Rnk"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5763889" backgroundQuery="1" createdVersion="8" refreshedVersion="8" minRefreshableVersion="3" recordCount="0" supportSubquery="1" supportAdvancedDrill="1" xr:uid="{F08BD1C1-66C6-4A05-8090-F28565378713}">
  <cacheSource type="external" connectionId="1"/>
  <cacheFields count="5">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Model_wise_Sales].[ModelName].[ModelName]" caption="ModelName" numFmtId="0" hierarchy="3" level="1">
      <sharedItems count="40">
        <s v="All-Purpose Bike Stand"/>
        <s v="Bike Wash"/>
        <s v="Classic Vest"/>
        <s v="Cycling Cap"/>
        <s v="Fender Set - Mountain"/>
        <s v="Half-Finger Gloves"/>
        <s v="Hitch Rack - 4-Bike"/>
        <s v="HL Mountain Tire"/>
        <s v="HL Road Tire"/>
        <s v="Hydration Pack"/>
        <s v="LL Mountain Tire"/>
        <s v="LL Road Tire"/>
        <s v="Long-Sleeve Logo Jersey"/>
        <s v="ML Mountain Tire"/>
        <s v="ML Road Tire"/>
        <s v="Mountain Bottle Cage"/>
        <s v="Mountain Tire Tube"/>
        <s v="Mountain-100"/>
        <s v="Mountain-200"/>
        <s v="Mountain-400-W"/>
        <s v="Mountain-500"/>
        <s v="Patch kit"/>
        <s v="Racing Socks"/>
        <s v="Road Bottle Cage"/>
        <s v="Road Tire Tube"/>
        <s v="Road-150"/>
        <s v="Road-250"/>
        <s v="Road-350-W"/>
        <s v="Road-550-W"/>
        <s v="Road-650"/>
        <s v="Road-750"/>
        <s v="Short-Sleeve Classic Jersey"/>
        <s v="Sport-100"/>
        <s v="Touring Tire"/>
        <s v="Touring Tire Tube"/>
        <s v="Touring-1000"/>
        <s v="Touring-2000"/>
        <s v="Touring-3000"/>
        <s v="Water Bottle"/>
        <s v="Women's Mountain Shorts"/>
      </sharedItems>
    </cacheField>
    <cacheField name="[Measures].[Sum of NetOrders]" caption="Sum of NetOrders" numFmtId="0" hierarchy="56" level="32767"/>
    <cacheField name="[Model_wise_Sales].[CategoryName].[CategoryName]" caption="CategoryName" numFmtId="0" hierarchy="2" level="1">
      <sharedItems count="3">
        <s v="Accessories"/>
        <s v="Bikes"/>
        <s v="Clothing"/>
      </sharedItems>
    </cacheField>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0"/>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fieldsUsage count="2">
        <fieldUsage x="-1"/>
        <fieldUsage x="3"/>
      </fieldsUsage>
    </cacheHierarchy>
    <cacheHierarchy uniqueName="[Model_wise_Sales].[ModelName]" caption="ModelName" attribute="1" defaultMemberUniqueName="[Model_wise_Sales].[ModelName].[All]" allUniqueName="[Model_wise_Sales].[ModelName].[All]" dimensionUniqueName="[Model_wise_Sales]" displayFolder="" count="2" memberValueDatatype="130" unbalanced="0">
      <fieldsUsage count="2">
        <fieldUsage x="-1"/>
        <fieldUsage x="1"/>
      </fieldsUsage>
    </cacheHierarchy>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7152775" backgroundQuery="1" createdVersion="8" refreshedVersion="8" minRefreshableVersion="3" recordCount="0" supportSubquery="1" supportAdvancedDrill="1" xr:uid="{97E92BDC-0904-4C59-BA5D-8B176E955730}">
  <cacheSource type="external" connectionId="1"/>
  <cacheFields count="4">
    <cacheField name="[Measures].[Sum of NetRevenue]" caption="Sum of NetRevenue" numFmtId="0" hierarchy="55" level="32767"/>
    <cacheField name="[Model_wise_Sales].[CategoryName].[CategoryName]" caption="CategoryName" numFmtId="0" hierarchy="2" level="1">
      <sharedItems count="3">
        <s v="Accessories"/>
        <s v="Bikes"/>
        <s v="Clothing"/>
      </sharedItems>
    </cacheField>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2"/>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fieldsUsage count="2">
        <fieldUsage x="-1"/>
        <fieldUsage x="1"/>
      </fieldsUsage>
    </cacheHierarchy>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7847221" backgroundQuery="1" createdVersion="8" refreshedVersion="8" minRefreshableVersion="3" recordCount="0" supportSubquery="1" supportAdvancedDrill="1" xr:uid="{55D88436-10BA-47F6-A3F2-4F34BE1795EB}">
  <cacheSource type="external" connectionId="1"/>
  <cacheFields count="4">
    <cacheField name="[Measures].[Sum of NetOrders]" caption="Sum of NetOrders" numFmtId="0" hierarchy="56" level="32767"/>
    <cacheField name="[Model_wise_Sales].[CategoryName].[CategoryName]" caption="CategoryName" numFmtId="0" hierarchy="2" level="1">
      <sharedItems count="3">
        <s v="Accessories"/>
        <s v="Bikes"/>
        <s v="Clothing"/>
      </sharedItems>
    </cacheField>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2"/>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fieldsUsage count="2">
        <fieldUsage x="-1"/>
        <fieldUsage x="1"/>
      </fieldsUsage>
    </cacheHierarchy>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8657406" backgroundQuery="1" createdVersion="8" refreshedVersion="8" minRefreshableVersion="3" recordCount="0" supportSubquery="1" supportAdvancedDrill="1" xr:uid="{FC6036D6-E820-49AD-B401-0ECFDB5B22E4}">
  <cacheSource type="external" connectionId="1"/>
  <cacheFields count="4">
    <cacheField name="[Measures].[Sum of Cost]" caption="Sum of Cost" numFmtId="0" hierarchy="57" level="32767"/>
    <cacheField name="[Model_wise_Sales].[CategoryName].[CategoryName]" caption="CategoryName" numFmtId="0" hierarchy="2" level="1">
      <sharedItems count="3">
        <s v="Accessories"/>
        <s v="Bikes"/>
        <s v="Clothing"/>
      </sharedItems>
    </cacheField>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2"/>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fieldsUsage count="2">
        <fieldUsage x="-1"/>
        <fieldUsage x="1"/>
      </fieldsUsage>
    </cacheHierarchy>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9351853" backgroundQuery="1" createdVersion="8" refreshedVersion="8" minRefreshableVersion="3" recordCount="0" supportSubquery="1" supportAdvancedDrill="1" xr:uid="{7B79940A-DACD-4BF8-BF16-058B2AB67309}">
  <cacheSource type="external" connectionId="1"/>
  <cacheFields count="4">
    <cacheField name="[Measures].[Sum of NetProfit]" caption="Sum of NetProfit" numFmtId="0" hierarchy="58" level="32767"/>
    <cacheField name="[Model_wise_Sales].[CategoryName].[CategoryName]" caption="CategoryName" numFmtId="0" hierarchy="2" level="1">
      <sharedItems count="3">
        <s v="Accessories"/>
        <s v="Bikes"/>
        <s v="Clothing"/>
      </sharedItems>
    </cacheField>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2"/>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fieldsUsage count="2">
        <fieldUsage x="-1"/>
        <fieldUsage x="1"/>
      </fieldsUsage>
    </cacheHierarchy>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39814815" backgroundQuery="1" createdVersion="8" refreshedVersion="8" minRefreshableVersion="3" recordCount="0" supportSubquery="1" supportAdvancedDrill="1" xr:uid="{488B95AB-6B3B-43C1-9CF2-920FE6354D18}">
  <cacheSource type="external" connectionId="1"/>
  <cacheFields count="2">
    <cacheField name="[Measures].[Sum of NetOrders]" caption="Sum of NetOrders" numFmtId="0" hierarchy="56"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1"/>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0277777" backgroundQuery="1" createdVersion="8" refreshedVersion="8" minRefreshableVersion="3" recordCount="0" supportSubquery="1" supportAdvancedDrill="1" xr:uid="{6F0FA978-438A-4086-9D03-13C845ED3DA4}">
  <cacheSource type="external" connectionId="1"/>
  <cacheFields count="2">
    <cacheField name="[Measures].[Sum of Cost]" caption="Sum of Cost" numFmtId="0" hierarchy="57"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1"/>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0740738" backgroundQuery="1" createdVersion="8" refreshedVersion="8" minRefreshableVersion="3" recordCount="0" supportSubquery="1" supportAdvancedDrill="1" xr:uid="{32494937-74AA-4E61-AF47-CD65C124B1BB}">
  <cacheSource type="external" connectionId="1"/>
  <cacheFields count="2">
    <cacheField name="[Measures].[Sum of NetProfit]" caption="Sum of NetProfit" numFmtId="0" hierarchy="58"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1"/>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1087962" backgroundQuery="1" createdVersion="8" refreshedVersion="8" minRefreshableVersion="3" recordCount="0" supportSubquery="1" supportAdvancedDrill="1" xr:uid="{F1C7DC24-1376-4565-BC17-14EB769E741A}">
  <cacheSource type="external" connectionId="1"/>
  <cacheFields count="2">
    <cacheField name="[Measures].[Sum of NetRevenue]" caption="Sum of NetRevenue" numFmtId="0" hierarchy="55"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1"/>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1782408" backgroundQuery="1" createdVersion="8" refreshedVersion="8" minRefreshableVersion="3" recordCount="0" supportSubquery="1" supportAdvancedDrill="1" xr:uid="{D5CA2E38-C9B3-4B9B-A3C0-B71F954FC41E}">
  <cacheSource type="external" connectionId="1"/>
  <cacheFields count="3">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Measures].[Sum of NetProfit]" caption="Sum of NetProfit" numFmtId="0" hierarchy="58"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0"/>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2"/>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2476855" backgroundQuery="1" createdVersion="8" refreshedVersion="8" minRefreshableVersion="3" recordCount="0" supportSubquery="1" supportAdvancedDrill="1" xr:uid="{06C71F95-9510-45E8-AACD-580601C34DD9}">
  <cacheSource type="external" connectionId="1"/>
  <cacheFields count="3">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Measures].[Sum of NetRevenue]" caption="Sum of NetRevenue" numFmtId="0" hierarchy="55"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0"/>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2"/>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3402779" backgroundQuery="1" createdVersion="8" refreshedVersion="8" minRefreshableVersion="3" recordCount="0" supportSubquery="1" supportAdvancedDrill="1" xr:uid="{4B89FACD-9359-4E4B-AB84-B500863DD658}">
  <cacheSource type="external" connectionId="1"/>
  <cacheFields count="3">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Measures].[Sum of Cost]" caption="Sum of Cost" numFmtId="0" hierarchy="57"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0"/>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2"/>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4212964" backgroundQuery="1" createdVersion="8" refreshedVersion="8" minRefreshableVersion="3" recordCount="0" supportSubquery="1" supportAdvancedDrill="1" xr:uid="{F26F347E-25F7-4F2E-A01E-0E4C9E4BD8F5}">
  <cacheSource type="external" connectionId="1"/>
  <cacheFields count="3">
    <cacheField name="[Model_wise_Sales].[Year].[Year]" caption="Year" numFmtId="0" hierarchy="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del_wise_Sales].[Year].&amp;[2015]"/>
            <x15:cachedUniqueName index="1" name="[Model_wise_Sales].[Year].&amp;[2016]"/>
            <x15:cachedUniqueName index="2" name="[Model_wise_Sales].[Year].&amp;[2017]"/>
          </x15:cachedUniqueNames>
        </ext>
      </extLst>
    </cacheField>
    <cacheField name="[Measures].[Sum of NetOrders]" caption="Sum of NetOrders" numFmtId="0" hierarchy="56"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2" memberValueDatatype="20" unbalanced="0">
      <fieldsUsage count="2">
        <fieldUsage x="-1"/>
        <fieldUsage x="0"/>
      </fieldsUsage>
    </cacheHierarchy>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2"/>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490741" backgroundQuery="1" createdVersion="8" refreshedVersion="8" minRefreshableVersion="3" recordCount="0" supportSubquery="1" supportAdvancedDrill="1" xr:uid="{5F451327-1292-413E-BF69-D960C3A51016}">
  <cacheSource type="external" connectionId="1"/>
  <cacheFields count="4">
    <cacheField name="[TerritorySales].[Year].[Year]" caption="Year" numFmtId="0" hierarchy="2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TerritorySales].[Year].&amp;[2015]"/>
            <x15:cachedUniqueName index="1" name="[TerritorySales].[Year].&amp;[2016]"/>
            <x15:cachedUniqueName index="2" name="[TerritorySales].[Year].&amp;[2017]"/>
          </x15:cachedUniqueNames>
        </ext>
      </extLst>
    </cacheField>
    <cacheField name="[TerritorySales].[Region].[Region]" caption="Region" numFmtId="0" hierarchy="24" level="1">
      <sharedItems count="10">
        <s v="Australia"/>
        <s v="Canada"/>
        <s v="Central"/>
        <s v="France"/>
        <s v="Germany"/>
        <s v="Northeast"/>
        <s v="Northwest"/>
        <s v="Southeast"/>
        <s v="Southwest"/>
        <s v="United Kingdom"/>
      </sharedItems>
    </cacheField>
    <cacheField name="[Measures].[Sum of Rev_Gen]" caption="Sum of Rev_Gen" numFmtId="0" hierarchy="59"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2" memberValueDatatype="20" unbalanced="0">
      <fieldsUsage count="2">
        <fieldUsage x="-1"/>
        <fieldUsage x="0"/>
      </fieldsUsage>
    </cacheHierarchy>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2" memberValueDatatype="130" unbalanced="0">
      <fieldsUsage count="2">
        <fieldUsage x="-1"/>
        <fieldUsage x="1"/>
      </fieldsUsage>
    </cacheHierarchy>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5601849" backgroundQuery="1" createdVersion="8" refreshedVersion="8" minRefreshableVersion="3" recordCount="0" supportSubquery="1" supportAdvancedDrill="1" xr:uid="{F16CFC20-8BB0-45F0-8ED9-091AC84B51E5}">
  <cacheSource type="external" connectionId="1"/>
  <cacheFields count="4">
    <cacheField name="[TerritorySales].[Year].[Year]" caption="Year" numFmtId="0" hierarchy="2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TerritorySales].[Year].&amp;[2015]"/>
            <x15:cachedUniqueName index="1" name="[TerritorySales].[Year].&amp;[2016]"/>
            <x15:cachedUniqueName index="2" name="[TerritorySales].[Year].&amp;[2017]"/>
          </x15:cachedUniqueNames>
        </ext>
      </extLst>
    </cacheField>
    <cacheField name="[TerritorySales].[Region].[Region]" caption="Region" numFmtId="0" hierarchy="24" level="1">
      <sharedItems count="10">
        <s v="Australia"/>
        <s v="Canada"/>
        <s v="Central"/>
        <s v="France"/>
        <s v="Germany"/>
        <s v="Northeast"/>
        <s v="Northwest"/>
        <s v="Southeast"/>
        <s v="Southwest"/>
        <s v="United Kingdom"/>
      </sharedItems>
    </cacheField>
    <cacheField name="[Measures].[Sum of OrderQuantity]" caption="Sum of OrderQuantity" numFmtId="0" hierarchy="61"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2" memberValueDatatype="20" unbalanced="0">
      <fieldsUsage count="2">
        <fieldUsage x="-1"/>
        <fieldUsage x="0"/>
      </fieldsUsage>
    </cacheHierarchy>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2" memberValueDatatype="130" unbalanced="0">
      <fieldsUsage count="2">
        <fieldUsage x="-1"/>
        <fieldUsage x="1"/>
      </fieldsUsage>
    </cacheHierarchy>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6412035" backgroundQuery="1" createdVersion="8" refreshedVersion="8" minRefreshableVersion="3" recordCount="0" supportSubquery="1" supportAdvancedDrill="1" xr:uid="{B2FBB90A-3C49-4D8A-8CA0-46F2BF77DA4D}">
  <cacheSource type="external" connectionId="1"/>
  <cacheFields count="4">
    <cacheField name="[TerritorySales].[Year].[Year]" caption="Year" numFmtId="0" hierarchy="2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TerritorySales].[Year].&amp;[2015]"/>
            <x15:cachedUniqueName index="1" name="[TerritorySales].[Year].&amp;[2016]"/>
            <x15:cachedUniqueName index="2" name="[TerritorySales].[Year].&amp;[2017]"/>
          </x15:cachedUniqueNames>
        </ext>
      </extLst>
    </cacheField>
    <cacheField name="[TerritorySales].[Region].[Region]" caption="Region" numFmtId="0" hierarchy="24" level="1">
      <sharedItems count="10">
        <s v="Australia"/>
        <s v="Canada"/>
        <s v="Central"/>
        <s v="France"/>
        <s v="Germany"/>
        <s v="Northeast"/>
        <s v="Northwest"/>
        <s v="Southeast"/>
        <s v="Southwest"/>
        <s v="United Kingdom"/>
      </sharedItems>
    </cacheField>
    <cacheField name="[Measures].[Sum of ReturnQuantity]" caption="Sum of ReturnQuantity" numFmtId="0" hierarchy="62"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2" memberValueDatatype="20" unbalanced="0">
      <fieldsUsage count="2">
        <fieldUsage x="-1"/>
        <fieldUsage x="0"/>
      </fieldsUsage>
    </cacheHierarchy>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2" memberValueDatatype="130" unbalanced="0">
      <fieldsUsage count="2">
        <fieldUsage x="-1"/>
        <fieldUsage x="1"/>
      </fieldsUsage>
    </cacheHierarchy>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07.698647106481" backgroundQuery="1" createdVersion="8" refreshedVersion="8" minRefreshableVersion="3" recordCount="0" supportSubquery="1" supportAdvancedDrill="1" xr:uid="{0FBBEF08-677D-4CAC-AB4C-2A48AC1F91CB}">
  <cacheSource type="external" connectionId="1"/>
  <cacheFields count="4">
    <cacheField name="[TerritorySales].[Year].[Year]" caption="Year" numFmtId="0" hierarchy="21"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TerritorySales].[Year].&amp;[2015]"/>
            <x15:cachedUniqueName index="1" name="[TerritorySales].[Year].&amp;[2016]"/>
            <x15:cachedUniqueName index="2" name="[TerritorySales].[Year].&amp;[2017]"/>
          </x15:cachedUniqueNames>
        </ext>
      </extLst>
    </cacheField>
    <cacheField name="[TerritorySales].[Region].[Region]" caption="Region" numFmtId="0" hierarchy="24" level="1">
      <sharedItems count="10">
        <s v="Australia"/>
        <s v="Canada"/>
        <s v="Central"/>
        <s v="France"/>
        <s v="Germany"/>
        <s v="Northeast"/>
        <s v="Northwest"/>
        <s v="Southeast"/>
        <s v="Southwest"/>
        <s v="United Kingdom"/>
      </sharedItems>
    </cacheField>
    <cacheField name="[Measures].[Sum of FinalQuantity]" caption="Sum of FinalQuantity" numFmtId="0" hierarchy="63" level="32767"/>
    <cacheField name="[Year].[Year].[Year]" caption="Year" numFmtId="0" hierarchy="32"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2" memberValueDatatype="20" unbalanced="0">
      <fieldsUsage count="2">
        <fieldUsage x="-1"/>
        <fieldUsage x="0"/>
      </fieldsUsage>
    </cacheHierarchy>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2" memberValueDatatype="130" unbalanced="0">
      <fieldsUsage count="2">
        <fieldUsage x="-1"/>
        <fieldUsage x="1"/>
      </fieldsUsage>
    </cacheHierarchy>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oneField="1" hidden="1">
      <fieldsUsage count="1">
        <fieldUsage x="2"/>
      </fieldsUsage>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676019560182" backgroundQuery="1" createdVersion="8" refreshedVersion="8" minRefreshableVersion="3" recordCount="0" supportSubquery="1" supportAdvancedDrill="1" xr:uid="{88091B13-60F8-465B-8CE1-5E4028DE3D47}">
  <cacheSource type="external" connectionId="1"/>
  <cacheFields count="4">
    <cacheField name="[MOM_Sales].[Month].[Month]" caption="Month" numFmtId="0" hierarchy="12" level="1">
      <sharedItems count="12">
        <s v="Apr"/>
        <s v="Aug"/>
        <s v="Dec"/>
        <s v="Feb"/>
        <s v="Jan"/>
        <s v="Jul"/>
        <s v="Jun"/>
        <s v="Mar"/>
        <s v="May"/>
        <s v="Nov"/>
        <s v="Oct"/>
        <s v="Sep"/>
      </sharedItems>
    </cacheField>
    <cacheField name="[MOM_Sales].[Year].[Year]" caption="Year" numFmtId="0" hierarchy="10"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M_Sales].[Year].&amp;[2015]"/>
            <x15:cachedUniqueName index="1" name="[MOM_Sales].[Year].&amp;[2016]"/>
            <x15:cachedUniqueName index="2" name="[MOM_Sales].[Year].&amp;[2017]"/>
          </x15:cachedUniqueNames>
        </ext>
      </extLst>
    </cacheField>
    <cacheField name="[Measures].[Sum of NetRev]" caption="Sum of NetRev" numFmtId="0" hierarchy="50" level="32767"/>
    <cacheField name="[MOM_Sales].[Quarter].[Quarter]" caption="Quarter" numFmtId="0" hierarchy="11" level="1">
      <sharedItems containsSemiMixedTypes="0" containsNonDate="0" containsString="0"/>
    </cacheField>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2" memberValueDatatype="20" unbalanced="0">
      <fieldsUsage count="2">
        <fieldUsage x="-1"/>
        <fieldUsage x="1"/>
      </fieldsUsage>
    </cacheHierarchy>
    <cacheHierarchy uniqueName="[MOM_Sales].[Quarter]" caption="Quarter" attribute="1" defaultMemberUniqueName="[MOM_Sales].[Quarter].[All]" allUniqueName="[MOM_Sales].[Quarter].[All]" dimensionUniqueName="[MOM_Sales]" displayFolder="" count="2" memberValueDatatype="20" unbalanced="0">
      <fieldsUsage count="2">
        <fieldUsage x="-1"/>
        <fieldUsage x="3"/>
      </fieldsUsage>
    </cacheHierarchy>
    <cacheHierarchy uniqueName="[MOM_Sales].[Month]" caption="Month" attribute="1" defaultMemberUniqueName="[MOM_Sales].[Month].[All]" allUniqueName="[MOM_Sales].[Month].[All]" dimensionUniqueName="[MOM_Sales]" displayFolder="" count="2" memberValueDatatype="130" unbalanced="0">
      <fieldsUsage count="2">
        <fieldUsage x="-1"/>
        <fieldUsage x="0"/>
      </fieldsUsage>
    </cacheHierarchy>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67602013889" backgroundQuery="1" createdVersion="8" refreshedVersion="8" minRefreshableVersion="3" recordCount="0" supportSubquery="1" supportAdvancedDrill="1" xr:uid="{03057E1C-6448-4105-9D98-31D82042F0EC}">
  <cacheSource type="external" connectionId="1"/>
  <cacheFields count="3">
    <cacheField name="[MOM_Sales].[Year].[Year]" caption="Year" numFmtId="0" hierarchy="10"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M_Sales].[Year].&amp;[2015]"/>
            <x15:cachedUniqueName index="1" name="[MOM_Sales].[Year].&amp;[2016]"/>
            <x15:cachedUniqueName index="2" name="[MOM_Sales].[Year].&amp;[2017]"/>
          </x15:cachedUniqueNames>
        </ext>
      </extLst>
    </cacheField>
    <cacheField name="[MOM_Sales].[Quarter].[Quarter]" caption="Quarter"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MOM_Sales].[Quarter].&amp;[1]"/>
            <x15:cachedUniqueName index="1" name="[MOM_Sales].[Quarter].&amp;[2]"/>
            <x15:cachedUniqueName index="2" name="[MOM_Sales].[Quarter].&amp;[3]"/>
            <x15:cachedUniqueName index="3" name="[MOM_Sales].[Quarter].&amp;[4]"/>
          </x15:cachedUniqueNames>
        </ext>
      </extLst>
    </cacheField>
    <cacheField name="[Measures].[Sum of TotalCost]" caption="Sum of TotalCost" numFmtId="0" hierarchy="52" level="32767"/>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2" memberValueDatatype="20" unbalanced="0">
      <fieldsUsage count="2">
        <fieldUsage x="-1"/>
        <fieldUsage x="0"/>
      </fieldsUsage>
    </cacheHierarchy>
    <cacheHierarchy uniqueName="[MOM_Sales].[Quarter]" caption="Quarter" attribute="1" defaultMemberUniqueName="[MOM_Sales].[Quarter].[All]" allUniqueName="[MOM_Sales].[Quarter].[All]" dimensionUniqueName="[MOM_Sales]" displayFolder="" count="2" memberValueDatatype="20" unbalanced="0">
      <fieldsUsage count="2">
        <fieldUsage x="-1"/>
        <fieldUsage x="1"/>
      </fieldsUsage>
    </cacheHierarchy>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676020486113" backgroundQuery="1" createdVersion="8" refreshedVersion="8" minRefreshableVersion="3" recordCount="0" supportSubquery="1" supportAdvancedDrill="1" xr:uid="{7DDFC573-739C-4EF8-A9D7-ECCAF1F1B769}">
  <cacheSource type="external" connectionId="1"/>
  <cacheFields count="3">
    <cacheField name="[MOM_Sales].[Year].[Year]" caption="Year" numFmtId="0" hierarchy="10"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M_Sales].[Year].&amp;[2015]"/>
            <x15:cachedUniqueName index="1" name="[MOM_Sales].[Year].&amp;[2016]"/>
            <x15:cachedUniqueName index="2" name="[MOM_Sales].[Year].&amp;[2017]"/>
          </x15:cachedUniqueNames>
        </ext>
      </extLst>
    </cacheField>
    <cacheField name="[MOM_Sales].[Quarter].[Quarter]" caption="Quarter"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MOM_Sales].[Quarter].&amp;[1]"/>
            <x15:cachedUniqueName index="1" name="[MOM_Sales].[Quarter].&amp;[2]"/>
            <x15:cachedUniqueName index="2" name="[MOM_Sales].[Quarter].&amp;[3]"/>
            <x15:cachedUniqueName index="3" name="[MOM_Sales].[Quarter].&amp;[4]"/>
          </x15:cachedUniqueNames>
        </ext>
      </extLst>
    </cacheField>
    <cacheField name="[Measures].[Sum of Profit]" caption="Sum of Profit" numFmtId="0" hierarchy="53" level="32767"/>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2" memberValueDatatype="20" unbalanced="0">
      <fieldsUsage count="2">
        <fieldUsage x="-1"/>
        <fieldUsage x="0"/>
      </fieldsUsage>
    </cacheHierarchy>
    <cacheHierarchy uniqueName="[MOM_Sales].[Quarter]" caption="Quarter" attribute="1" defaultMemberUniqueName="[MOM_Sales].[Quarter].[All]" allUniqueName="[MOM_Sales].[Quarter].[All]" dimensionUniqueName="[MOM_Sales]" displayFolder="" count="2" memberValueDatatype="20" unbalanced="0">
      <fieldsUsage count="2">
        <fieldUsage x="-1"/>
        <fieldUsage x="1"/>
      </fieldsUsage>
    </cacheHierarchy>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676020833336" backgroundQuery="1" createdVersion="8" refreshedVersion="8" minRefreshableVersion="3" recordCount="0" supportSubquery="1" supportAdvancedDrill="1" xr:uid="{81B51AC0-6A99-454D-A8EA-B2F73AF0542F}">
  <cacheSource type="external" connectionId="1"/>
  <cacheFields count="3">
    <cacheField name="[MOM_Sales].[Year].[Year]" caption="Year" numFmtId="0" hierarchy="10"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M_Sales].[Year].&amp;[2015]"/>
            <x15:cachedUniqueName index="1" name="[MOM_Sales].[Year].&amp;[2016]"/>
            <x15:cachedUniqueName index="2" name="[MOM_Sales].[Year].&amp;[2017]"/>
          </x15:cachedUniqueNames>
        </ext>
      </extLst>
    </cacheField>
    <cacheField name="[MOM_Sales].[Quarter].[Quarter]" caption="Quarter"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MOM_Sales].[Quarter].&amp;[1]"/>
            <x15:cachedUniqueName index="1" name="[MOM_Sales].[Quarter].&amp;[2]"/>
            <x15:cachedUniqueName index="2" name="[MOM_Sales].[Quarter].&amp;[3]"/>
            <x15:cachedUniqueName index="3" name="[MOM_Sales].[Quarter].&amp;[4]"/>
          </x15:cachedUniqueNames>
        </ext>
      </extLst>
    </cacheField>
    <cacheField name="[Measures].[Sum of Final Quantity]" caption="Sum of Final Quantity" numFmtId="0" hierarchy="54" level="32767"/>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2" memberValueDatatype="20" unbalanced="0">
      <fieldsUsage count="2">
        <fieldUsage x="-1"/>
        <fieldUsage x="0"/>
      </fieldsUsage>
    </cacheHierarchy>
    <cacheHierarchy uniqueName="[MOM_Sales].[Quarter]" caption="Quarter" attribute="1" defaultMemberUniqueName="[MOM_Sales].[Quarter].[All]" allUniqueName="[MOM_Sales].[Quarter].[All]" dimensionUniqueName="[MOM_Sales]" displayFolder="" count="2" memberValueDatatype="20" unbalanced="0">
      <fieldsUsage count="2">
        <fieldUsage x="-1"/>
        <fieldUsage x="1"/>
      </fieldsUsage>
    </cacheHierarchy>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676021180552" backgroundQuery="1" createdVersion="8" refreshedVersion="8" minRefreshableVersion="3" recordCount="0" supportSubquery="1" supportAdvancedDrill="1" xr:uid="{1402DA48-D380-46F7-AAF9-8D265E88BD0A}">
  <cacheSource type="external" connectionId="1"/>
  <cacheFields count="3">
    <cacheField name="[MOM_Sales].[Year].[Year]" caption="Year" numFmtId="0" hierarchy="10"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MOM_Sales].[Year].&amp;[2015]"/>
            <x15:cachedUniqueName index="1" name="[MOM_Sales].[Year].&amp;[2016]"/>
            <x15:cachedUniqueName index="2" name="[MOM_Sales].[Year].&amp;[2017]"/>
          </x15:cachedUniqueNames>
        </ext>
      </extLst>
    </cacheField>
    <cacheField name="[Measures].[Sum of NetRev]" caption="Sum of NetRev" numFmtId="0" hierarchy="50" level="32767"/>
    <cacheField name="[MOM_Sales].[Quarter].[Quarter]" caption="Quarter" numFmtId="0" hierarchy="11"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MOM_Sales].[Quarter].&amp;[1]"/>
            <x15:cachedUniqueName index="1" name="[MOM_Sales].[Quarter].&amp;[2]"/>
            <x15:cachedUniqueName index="2" name="[MOM_Sales].[Quarter].&amp;[3]"/>
            <x15:cachedUniqueName index="3" name="[MOM_Sales].[Quarter].&amp;[4]"/>
          </x15:cachedUniqueNames>
        </ext>
      </extLst>
    </cacheField>
  </cacheFields>
  <cacheHierarchies count="64">
    <cacheHierarchy uniqueName="[Cateory].[Category]" caption="Category" attribute="1" defaultMemberUniqueName="[Cateory].[Category].[All]" allUniqueName="[Cateory].[Category].[All]" dimensionUniqueName="[Cateory]" displayFolder="" count="0"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2" memberValueDatatype="20" unbalanced="0">
      <fieldsUsage count="2">
        <fieldUsage x="-1"/>
        <fieldUsage x="0"/>
      </fieldsUsage>
    </cacheHierarchy>
    <cacheHierarchy uniqueName="[MOM_Sales].[Quarter]" caption="Quarter" attribute="1" defaultMemberUniqueName="[MOM_Sales].[Quarter].[All]" allUniqueName="[MOM_Sales].[Quarter].[All]" dimensionUniqueName="[MOM_Sales]" displayFolder="" count="2" memberValueDatatype="20" unbalanced="0">
      <fieldsUsage count="2">
        <fieldUsage x="-1"/>
        <fieldUsage x="2"/>
      </fieldsUsage>
    </cacheHierarchy>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y uniqueName="[Measures].[Sum of Rev_Gen]" caption="Sum of Rev_Gen" measure="1" displayFolder="" measureGroup="TerritorySales" count="0" hidden="1">
      <extLst>
        <ext xmlns:x15="http://schemas.microsoft.com/office/spreadsheetml/2010/11/main" uri="{B97F6D7D-B522-45F9-BDA1-12C45D357490}">
          <x15:cacheHierarchy aggregatedColumn="31"/>
        </ext>
      </extLst>
    </cacheHierarchy>
    <cacheHierarchy uniqueName="[Measures].[Sum of ReturnValue]" caption="Sum of ReturnValue" measure="1" displayFolder="" measureGroup="TerritorySales" count="0" hidden="1">
      <extLst>
        <ext xmlns:x15="http://schemas.microsoft.com/office/spreadsheetml/2010/11/main" uri="{B97F6D7D-B522-45F9-BDA1-12C45D357490}">
          <x15:cacheHierarchy aggregatedColumn="30"/>
        </ext>
      </extLst>
    </cacheHierarchy>
    <cacheHierarchy uniqueName="[Measures].[Sum of OrderQuantity]" caption="Sum of OrderQuantity" measure="1" displayFolder="" measureGroup="TerritorySales" count="0" hidden="1">
      <extLst>
        <ext xmlns:x15="http://schemas.microsoft.com/office/spreadsheetml/2010/11/main" uri="{B97F6D7D-B522-45F9-BDA1-12C45D357490}">
          <x15:cacheHierarchy aggregatedColumn="26"/>
        </ext>
      </extLst>
    </cacheHierarchy>
    <cacheHierarchy uniqueName="[Measures].[Sum of ReturnQuantity]" caption="Sum of ReturnQuantity" measure="1" displayFolder="" measureGroup="TerritorySales" count="0" hidden="1">
      <extLst>
        <ext xmlns:x15="http://schemas.microsoft.com/office/spreadsheetml/2010/11/main" uri="{B97F6D7D-B522-45F9-BDA1-12C45D357490}">
          <x15:cacheHierarchy aggregatedColumn="27"/>
        </ext>
      </extLst>
    </cacheHierarchy>
    <cacheHierarchy uniqueName="[Measures].[Sum of FinalQuantity]" caption="Sum of FinalQuantity" measure="1" displayFolder="" measureGroup="TerritorySales" count="0" hidden="1">
      <extLst>
        <ext xmlns:x15="http://schemas.microsoft.com/office/spreadsheetml/2010/11/main" uri="{B97F6D7D-B522-45F9-BDA1-12C45D357490}">
          <x15:cacheHierarchy aggregatedColumn="28"/>
        </ext>
      </extLst>
    </cacheHierarchy>
  </cacheHierarchies>
  <kpis count="0"/>
  <dimensions count="7">
    <dimension name="Cateory" uniqueName="[Cateory]" caption="Cateory"/>
    <dimension measure="1" name="Measures" uniqueName="[Measures]" caption="Measures"/>
    <dimension name="Model_wise_Sales" uniqueName="[Model_wise_Sales]" caption="Model_wise_Sales"/>
    <dimension name="MOM_Sales" uniqueName="[MOM_Sales]" caption="MOM_Sales"/>
    <dimension name="TerritorySales" uniqueName="[TerritorySales]" caption="TerritorySales"/>
    <dimension name="Year" uniqueName="[Year]" caption="Year"/>
    <dimension name="yoy_category" uniqueName="[yoy_category]" caption="yoy_category"/>
  </dimensions>
  <measureGroups count="6">
    <measureGroup name="Cateory" caption="Cateory"/>
    <measureGroup name="Model_wise_Sales" caption="Model_wise_Sales"/>
    <measureGroup name="MOM_Sales" caption="MOM_Sales"/>
    <measureGroup name="TerritorySales" caption="TerritorySales"/>
    <measureGroup name="Year" caption="Year"/>
    <measureGroup name="yoy_category" caption="yoy_category"/>
  </measureGroups>
  <maps count="13">
    <map measureGroup="0" dimension="0"/>
    <map measureGroup="1" dimension="0"/>
    <map measureGroup="1" dimension="2"/>
    <map measureGroup="1" dimension="5"/>
    <map measureGroup="2" dimension="3"/>
    <map measureGroup="2" dimension="5"/>
    <map measureGroup="3" dimension="0"/>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46.902270486113" backgroundQuery="1" createdVersion="3" refreshedVersion="8" minRefreshableVersion="3" recordCount="0" supportSubquery="1" supportAdvancedDrill="1" xr:uid="{BA97F8FC-285C-4B51-B38C-91691C2BECB4}">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2"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2"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2"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38725616"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46.945151388885" backgroundQuery="1" createdVersion="3" refreshedVersion="8" minRefreshableVersion="3" recordCount="0" supportSubquery="1" supportAdvancedDrill="1" xr:uid="{EFAE925B-9E37-4877-9FEA-C2A52D301E58}">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Cateory].[Category]" caption="Category" attribute="1" defaultMemberUniqueName="[Cateory].[Category].[All]" allUniqueName="[Cateory].[Category].[All]" dimensionUniqueName="[Cateory]" displayFolder="" count="2" memberValueDatatype="130" unbalanced="0"/>
    <cacheHierarchy uniqueName="[Model_wise_Sales].[Year]" caption="Year" attribute="1" defaultMemberUniqueName="[Model_wise_Sales].[Year].[All]" allUniqueName="[Model_wise_Sales].[Year].[All]" dimensionUniqueName="[Model_wise_Sales]" displayFolder="" count="0" memberValueDatatype="20" unbalanced="0"/>
    <cacheHierarchy uniqueName="[Model_wise_Sales].[CategoryName]" caption="CategoryName" attribute="1" defaultMemberUniqueName="[Model_wise_Sales].[CategoryName].[All]" allUniqueName="[Model_wise_Sales].[CategoryName].[All]" dimensionUniqueName="[Model_wise_Sales]" displayFolder="" count="0" memberValueDatatype="130" unbalanced="0"/>
    <cacheHierarchy uniqueName="[Model_wise_Sales].[ModelName]" caption="ModelName" attribute="1" defaultMemberUniqueName="[Model_wise_Sales].[ModelName].[All]" allUniqueName="[Model_wise_Sales].[ModelName].[All]" dimensionUniqueName="[Model_wise_Sales]" displayFolder="" count="0" memberValueDatatype="130" unbalanced="0"/>
    <cacheHierarchy uniqueName="[Model_wise_Sales].[TotalOrders]" caption="TotalOrders" attribute="1" defaultMemberUniqueName="[Model_wise_Sales].[TotalOrders].[All]" allUniqueName="[Model_wise_Sales].[TotalOrders].[All]" dimensionUniqueName="[Model_wise_Sales]" displayFolder="" count="0" memberValueDatatype="20" unbalanced="0"/>
    <cacheHierarchy uniqueName="[Model_wise_Sales].[TotalRetrns]" caption="TotalRetrns" attribute="1" defaultMemberUniqueName="[Model_wise_Sales].[TotalRetrns].[All]" allUniqueName="[Model_wise_Sales].[TotalRetrns].[All]" dimensionUniqueName="[Model_wise_Sales]" displayFolder="" count="0" memberValueDatatype="20" unbalanced="0"/>
    <cacheHierarchy uniqueName="[Model_wise_Sales].[NetOrders]" caption="NetOrders" attribute="1" defaultMemberUniqueName="[Model_wise_Sales].[NetOrders].[All]" allUniqueName="[Model_wise_Sales].[NetOrders].[All]" dimensionUniqueName="[Model_wise_Sales]" displayFolder="" count="0" memberValueDatatype="20" unbalanced="0"/>
    <cacheHierarchy uniqueName="[Model_wise_Sales].[Cost]" caption="Cost" attribute="1" defaultMemberUniqueName="[Model_wise_Sales].[Cost].[All]" allUniqueName="[Model_wise_Sales].[Cost].[All]" dimensionUniqueName="[Model_wise_Sales]" displayFolder="" count="0" memberValueDatatype="5" unbalanced="0"/>
    <cacheHierarchy uniqueName="[Model_wise_Sales].[NetRevenue]" caption="NetRevenue" attribute="1" defaultMemberUniqueName="[Model_wise_Sales].[NetRevenue].[All]" allUniqueName="[Model_wise_Sales].[NetRevenue].[All]" dimensionUniqueName="[Model_wise_Sales]" displayFolder="" count="0" memberValueDatatype="5" unbalanced="0"/>
    <cacheHierarchy uniqueName="[Model_wise_Sales].[NetProfit]" caption="NetProfit" attribute="1" defaultMemberUniqueName="[Model_wise_Sales].[NetProfit].[All]" allUniqueName="[Model_wise_Sales].[NetProfit].[All]" dimensionUniqueName="[Model_wise_Sales]" displayFolder="" count="0" memberValueDatatype="5" unbalanced="0"/>
    <cacheHierarchy uniqueName="[MOM_Sales].[Year]" caption="Year" attribute="1" defaultMemberUniqueName="[MOM_Sales].[Year].[All]" allUniqueName="[MOM_Sales].[Year].[All]" dimensionUniqueName="[MOM_Sales]" displayFolder="" count="0" memberValueDatatype="20" unbalanced="0"/>
    <cacheHierarchy uniqueName="[MOM_Sales].[Quarter]" caption="Quarter" attribute="1" defaultMemberUniqueName="[MOM_Sales].[Quarter].[All]" allUniqueName="[MOM_Sales].[Quarter].[All]" dimensionUniqueName="[MOM_Sales]" displayFolder="" count="0" memberValueDatatype="20" unbalanced="0"/>
    <cacheHierarchy uniqueName="[MOM_Sales].[Month]" caption="Month" attribute="1" defaultMemberUniqueName="[MOM_Sales].[Month].[All]" allUniqueName="[MOM_Sales].[Month].[All]" dimensionUniqueName="[MOM_Sales]" displayFolder="" count="0" memberValueDatatype="130" unbalanced="0"/>
    <cacheHierarchy uniqueName="[MOM_Sales].[Order Quantity]" caption="Order Quantity" attribute="1" defaultMemberUniqueName="[MOM_Sales].[Order Quantity].[All]" allUniqueName="[MOM_Sales].[Order Quantity].[All]" dimensionUniqueName="[MOM_Sales]" displayFolder="" count="0" memberValueDatatype="20" unbalanced="0"/>
    <cacheHierarchy uniqueName="[MOM_Sales].[Return Quantity]" caption="Return Quantity" attribute="1" defaultMemberUniqueName="[MOM_Sales].[Return Quantity].[All]" allUniqueName="[MOM_Sales].[Return Quantity].[All]" dimensionUniqueName="[MOM_Sales]" displayFolder="" count="0" memberValueDatatype="20" unbalanced="0"/>
    <cacheHierarchy uniqueName="[MOM_Sales].[Final Quantity]" caption="Final Quantity" attribute="1" defaultMemberUniqueName="[MOM_Sales].[Final Quantity].[All]" allUniqueName="[MOM_Sales].[Final Quantity].[All]" dimensionUniqueName="[MOM_Sales]" displayFolder="" count="0" memberValueDatatype="20" unbalanced="0"/>
    <cacheHierarchy uniqueName="[MOM_Sales].[Total Revenue]" caption="Total Revenue" attribute="1" defaultMemberUniqueName="[MOM_Sales].[Total Revenue].[All]" allUniqueName="[MOM_Sales].[Total Revenue].[All]" dimensionUniqueName="[MOM_Sales]" displayFolder="" count="0" memberValueDatatype="5" unbalanced="0"/>
    <cacheHierarchy uniqueName="[MOM_Sales].[RevenueLost]" caption="RevenueLost" attribute="1" defaultMemberUniqueName="[MOM_Sales].[RevenueLost].[All]" allUniqueName="[MOM_Sales].[RevenueLost].[All]" dimensionUniqueName="[MOM_Sales]" displayFolder="" count="0" memberValueDatatype="5" unbalanced="0"/>
    <cacheHierarchy uniqueName="[MOM_Sales].[NetRev]" caption="NetRev" attribute="1" defaultMemberUniqueName="[MOM_Sales].[NetRev].[All]" allUniqueName="[MOM_Sales].[NetRev].[All]" dimensionUniqueName="[MOM_Sales]" displayFolder="" count="0" memberValueDatatype="5" unbalanced="0"/>
    <cacheHierarchy uniqueName="[MOM_Sales].[TotalCost]" caption="TotalCost" attribute="1" defaultMemberUniqueName="[MOM_Sales].[TotalCost].[All]" allUniqueName="[MOM_Sales].[TotalCost].[All]" dimensionUniqueName="[MOM_Sales]" displayFolder="" count="0" memberValueDatatype="5" unbalanced="0"/>
    <cacheHierarchy uniqueName="[MOM_Sales].[Profit]" caption="Profit" attribute="1" defaultMemberUniqueName="[MOM_Sales].[Profit].[All]" allUniqueName="[MOM_Sales].[Profit].[All]" dimensionUniqueName="[MOM_Sales]" displayFolder="" count="0" memberValueDatatype="5" unbalanced="0"/>
    <cacheHierarchy uniqueName="[TerritorySales].[Year]" caption="Year" attribute="1" defaultMemberUniqueName="[TerritorySales].[Year].[All]" allUniqueName="[TerritorySales].[Year].[All]" dimensionUniqueName="[TerritorySales]" displayFolder="" count="0" memberValueDatatype="20" unbalanced="0"/>
    <cacheHierarchy uniqueName="[TerritorySales].[Continent]" caption="Continent" attribute="1" defaultMemberUniqueName="[TerritorySales].[Continent].[All]" allUniqueName="[TerritorySales].[Continent].[All]" dimensionUniqueName="[TerritorySales]" displayFolder="" count="0" memberValueDatatype="130" unbalanced="0"/>
    <cacheHierarchy uniqueName="[TerritorySales].[Country]" caption="Country" attribute="1" defaultMemberUniqueName="[TerritorySales].[Country].[All]" allUniqueName="[TerritorySales].[Country].[All]" dimensionUniqueName="[TerritorySales]" displayFolder="" count="0" memberValueDatatype="130" unbalanced="0"/>
    <cacheHierarchy uniqueName="[TerritorySales].[Region]" caption="Region" attribute="1" defaultMemberUniqueName="[TerritorySales].[Region].[All]" allUniqueName="[TerritorySales].[Region].[All]" dimensionUniqueName="[TerritorySales]" displayFolder="" count="0" memberValueDatatype="130" unbalanced="0"/>
    <cacheHierarchy uniqueName="[TerritorySales].[Category]" caption="Category" attribute="1" defaultMemberUniqueName="[TerritorySales].[Category].[All]" allUniqueName="[TerritorySales].[Category].[All]" dimensionUniqueName="[TerritorySales]" displayFolder="" count="0" memberValueDatatype="130" unbalanced="0"/>
    <cacheHierarchy uniqueName="[TerritorySales].[OrderQuantity]" caption="OrderQuantity" attribute="1" defaultMemberUniqueName="[TerritorySales].[OrderQuantity].[All]" allUniqueName="[TerritorySales].[OrderQuantity].[All]" dimensionUniqueName="[TerritorySales]" displayFolder="" count="0" memberValueDatatype="20" unbalanced="0"/>
    <cacheHierarchy uniqueName="[TerritorySales].[ReturnQuantity]" caption="ReturnQuantity" attribute="1" defaultMemberUniqueName="[TerritorySales].[ReturnQuantity].[All]" allUniqueName="[TerritorySales].[ReturnQuantity].[All]" dimensionUniqueName="[TerritorySales]" displayFolder="" count="0" memberValueDatatype="20" unbalanced="0"/>
    <cacheHierarchy uniqueName="[TerritorySales].[FinalQuantity]" caption="FinalQuantity" attribute="1" defaultMemberUniqueName="[TerritorySales].[FinalQuantity].[All]" allUniqueName="[TerritorySales].[FinalQuantity].[All]" dimensionUniqueName="[TerritorySales]" displayFolder="" count="0" memberValueDatatype="20" unbalanced="0"/>
    <cacheHierarchy uniqueName="[TerritorySales].[OrderValue]" caption="OrderValue" attribute="1" defaultMemberUniqueName="[TerritorySales].[OrderValue].[All]" allUniqueName="[TerritorySales].[OrderValue].[All]" dimensionUniqueName="[TerritorySales]" displayFolder="" count="0" memberValueDatatype="5" unbalanced="0"/>
    <cacheHierarchy uniqueName="[TerritorySales].[ReturnValue]" caption="ReturnValue" attribute="1" defaultMemberUniqueName="[TerritorySales].[ReturnValue].[All]" allUniqueName="[TerritorySales].[ReturnValue].[All]" dimensionUniqueName="[TerritorySales]" displayFolder="" count="0" memberValueDatatype="5" unbalanced="0"/>
    <cacheHierarchy uniqueName="[TerritorySales].[Rev_Gen]" caption="Rev_Gen" attribute="1" defaultMemberUniqueName="[TerritorySales].[Rev_Gen].[All]" allUniqueName="[TerritorySales].[Rev_Gen].[All]" dimensionUniqueName="[TerritorySales]" displayFolder="" count="0" memberValueDatatype="5" unbalanced="0"/>
    <cacheHierarchy uniqueName="[Year].[Year]" caption="Year" attribute="1" defaultMemberUniqueName="[Year].[Year].[All]" allUniqueName="[Year].[Year].[All]" dimensionUniqueName="[Year]" displayFolder="" count="0" memberValueDatatype="20" unbalanced="0"/>
    <cacheHierarchy uniqueName="[yoy_category].[Year]" caption="Year" attribute="1" defaultMemberUniqueName="[yoy_category].[Year].[All]" allUniqueName="[yoy_category].[Year].[All]" dimensionUniqueName="[yoy_category]" displayFolder="" count="0" memberValueDatatype="20" unbalanced="0"/>
    <cacheHierarchy uniqueName="[yoy_category].[CategoryName]" caption="CategoryName" attribute="1" defaultMemberUniqueName="[yoy_category].[CategoryName].[All]" allUniqueName="[yoy_category].[CategoryName].[All]" dimensionUniqueName="[yoy_category]" displayFolder="" count="0" memberValueDatatype="130" unbalanced="0"/>
    <cacheHierarchy uniqueName="[yoy_category].[TotalOrders]" caption="TotalOrders" attribute="1" defaultMemberUniqueName="[yoy_category].[TotalOrders].[All]" allUniqueName="[yoy_category].[TotalOrders].[All]" dimensionUniqueName="[yoy_category]" displayFolder="" count="0" memberValueDatatype="20" unbalanced="0"/>
    <cacheHierarchy uniqueName="[yoy_category].[TotalRetrns]" caption="TotalRetrns" attribute="1" defaultMemberUniqueName="[yoy_category].[TotalRetrns].[All]" allUniqueName="[yoy_category].[TotalRetrns].[All]" dimensionUniqueName="[yoy_category]" displayFolder="" count="0" memberValueDatatype="20" unbalanced="0"/>
    <cacheHierarchy uniqueName="[yoy_category].[NetOrders]" caption="NetOrders" attribute="1" defaultMemberUniqueName="[yoy_category].[NetOrders].[All]" allUniqueName="[yoy_category].[NetOrders].[All]" dimensionUniqueName="[yoy_category]" displayFolder="" count="0" memberValueDatatype="20" unbalanced="0"/>
    <cacheHierarchy uniqueName="[yoy_category].[Cost]" caption="Cost" attribute="1" defaultMemberUniqueName="[yoy_category].[Cost].[All]" allUniqueName="[yoy_category].[Cost].[All]" dimensionUniqueName="[yoy_category]" displayFolder="" count="0" memberValueDatatype="5" unbalanced="0"/>
    <cacheHierarchy uniqueName="[yoy_category].[OrderRev]" caption="OrderRev" attribute="1" defaultMemberUniqueName="[yoy_category].[OrderRev].[All]" allUniqueName="[yoy_category].[OrderRev].[All]" dimensionUniqueName="[yoy_category]" displayFolder="" count="0" memberValueDatatype="5" unbalanced="0"/>
    <cacheHierarchy uniqueName="[yoy_category].[ReturnRev]" caption="ReturnRev" attribute="1" defaultMemberUniqueName="[yoy_category].[ReturnRev].[All]" allUniqueName="[yoy_category].[ReturnRev].[All]" dimensionUniqueName="[yoy_category]" displayFolder="" count="0" memberValueDatatype="5" unbalanced="0"/>
    <cacheHierarchy uniqueName="[yoy_category].[NetRevenue]" caption="NetRevenue" attribute="1" defaultMemberUniqueName="[yoy_category].[NetRevenue].[All]" allUniqueName="[yoy_category].[NetRevenue].[All]" dimensionUniqueName="[yoy_category]" displayFolder="" count="0" memberValueDatatype="5" unbalanced="0"/>
    <cacheHierarchy uniqueName="[yoy_category].[NetProfit]" caption="NetProfit" attribute="1" defaultMemberUniqueName="[yoy_category].[NetProfit].[All]" allUniqueName="[yoy_category].[NetProfit].[All]" dimensionUniqueName="[yoy_category]" displayFolder="" count="0" memberValueDatatype="5" unbalanced="0"/>
    <cacheHierarchy uniqueName="[Measures].[__XL_Count Year]" caption="__XL_Count Year" measure="1" displayFolder="" measureGroup="Year" count="0" hidden="1"/>
    <cacheHierarchy uniqueName="[Measures].[__XL_Count Model_wise_Sales]" caption="__XL_Count Model_wise_Sales" measure="1" displayFolder="" measureGroup="Model_wise_Sales" count="0" hidden="1"/>
    <cacheHierarchy uniqueName="[Measures].[__XL_Count MOM_Sales]" caption="__XL_Count MOM_Sales" measure="1" displayFolder="" measureGroup="MOM_Sales" count="0" hidden="1"/>
    <cacheHierarchy uniqueName="[Measures].[__XL_Count TerritorySales]" caption="__XL_Count TerritorySales" measure="1" displayFolder="" measureGroup="TerritorySales" count="0" hidden="1"/>
    <cacheHierarchy uniqueName="[Measures].[__XL_Count Cateory]" caption="__XL_Count Cateory" measure="1" displayFolder="" measureGroup="Cateory" count="0" hidden="1"/>
    <cacheHierarchy uniqueName="[Measures].[__XL_Count yoy_category]" caption="__XL_Count yoy_category" measure="1" displayFolder="" measureGroup="yoy_category" count="0" hidden="1"/>
    <cacheHierarchy uniqueName="[Measures].[__No measures defined]" caption="__No measures defined" measure="1" displayFolder="" count="0" hidden="1"/>
    <cacheHierarchy uniqueName="[Measures].[Sum of NetRev]" caption="Sum of NetRev" measure="1" displayFolder="" measureGroup="MOM_Sales" count="0" hidden="1">
      <extLst>
        <ext xmlns:x15="http://schemas.microsoft.com/office/spreadsheetml/2010/11/main" uri="{B97F6D7D-B522-45F9-BDA1-12C45D357490}">
          <x15:cacheHierarchy aggregatedColumn="18"/>
        </ext>
      </extLst>
    </cacheHierarchy>
    <cacheHierarchy uniqueName="[Measures].[Sum of Quarter]" caption="Sum of Quarter" measure="1" displayFolder="" measureGroup="MOM_Sales" count="0" hidden="1">
      <extLst>
        <ext xmlns:x15="http://schemas.microsoft.com/office/spreadsheetml/2010/11/main" uri="{B97F6D7D-B522-45F9-BDA1-12C45D357490}">
          <x15:cacheHierarchy aggregatedColumn="11"/>
        </ext>
      </extLst>
    </cacheHierarchy>
    <cacheHierarchy uniqueName="[Measures].[Sum of TotalCost]" caption="Sum of TotalCost" measure="1" displayFolder="" measureGroup="MOM_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MOM_Sales" count="0" hidden="1">
      <extLst>
        <ext xmlns:x15="http://schemas.microsoft.com/office/spreadsheetml/2010/11/main" uri="{B97F6D7D-B522-45F9-BDA1-12C45D357490}">
          <x15:cacheHierarchy aggregatedColumn="20"/>
        </ext>
      </extLst>
    </cacheHierarchy>
    <cacheHierarchy uniqueName="[Measures].[Sum of Final Quantity]" caption="Sum of Final Quantity" measure="1" displayFolder="" measureGroup="MOM_Sales" count="0" hidden="1">
      <extLst>
        <ext xmlns:x15="http://schemas.microsoft.com/office/spreadsheetml/2010/11/main" uri="{B97F6D7D-B522-45F9-BDA1-12C45D357490}">
          <x15:cacheHierarchy aggregatedColumn="15"/>
        </ext>
      </extLst>
    </cacheHierarchy>
    <cacheHierarchy uniqueName="[Measures].[Sum of NetRevenue]" caption="Sum of NetRevenue" measure="1" displayFolder="" measureGroup="Model_wise_Sales" count="0" hidden="1">
      <extLst>
        <ext xmlns:x15="http://schemas.microsoft.com/office/spreadsheetml/2010/11/main" uri="{B97F6D7D-B522-45F9-BDA1-12C45D357490}">
          <x15:cacheHierarchy aggregatedColumn="8"/>
        </ext>
      </extLst>
    </cacheHierarchy>
    <cacheHierarchy uniqueName="[Measures].[Sum of NetOrders]" caption="Sum of NetOrders" measure="1" displayFolder="" measureGroup="Model_wise_Sales"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Model_wise_Sales" count="0" hidden="1">
      <extLst>
        <ext xmlns:x15="http://schemas.microsoft.com/office/spreadsheetml/2010/11/main" uri="{B97F6D7D-B522-45F9-BDA1-12C45D357490}">
          <x15:cacheHierarchy aggregatedColumn="7"/>
        </ext>
      </extLst>
    </cacheHierarchy>
    <cacheHierarchy uniqueName="[Measures].[Sum of NetProfit]" caption="Sum of NetProfit" measure="1" displayFolder="" measureGroup="Model_wise_Sale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17670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Bikes"/>
    <s v="Road Bikes"/>
    <x v="0"/>
    <n v="1161"/>
    <n v="2.6"/>
    <n v="45.8"/>
    <n v="4.2"/>
    <n v="44.7"/>
    <n v="1.5"/>
    <n v="42.9"/>
    <n v="1"/>
  </r>
  <r>
    <x v="0"/>
    <s v="Bikes"/>
    <s v="Road Bikes"/>
    <x v="1"/>
    <n v="1001"/>
    <n v="1.4"/>
    <n v="25"/>
    <n v="2.2999999999999998"/>
    <n v="24.5"/>
    <n v="0.8"/>
    <n v="23.6"/>
    <n v="2"/>
  </r>
  <r>
    <x v="0"/>
    <s v="Bikes"/>
    <s v="Mountain Bikes"/>
    <x v="2"/>
    <n v="568"/>
    <n v="0.7"/>
    <n v="11.4"/>
    <n v="1.2"/>
    <n v="12.6"/>
    <n v="0.5"/>
    <n v="14.5"/>
    <n v="3"/>
  </r>
  <r>
    <x v="0"/>
    <s v="Bikes"/>
    <s v="Mountain Bikes"/>
    <x v="3"/>
    <n v="317"/>
    <n v="0.6"/>
    <n v="11.1"/>
    <n v="1.1000000000000001"/>
    <n v="11.6"/>
    <n v="0.4"/>
    <n v="12.3"/>
    <n v="4"/>
  </r>
  <r>
    <x v="0"/>
    <s v="Bikes"/>
    <s v="Road Bikes"/>
    <x v="4"/>
    <n v="574"/>
    <n v="0.2"/>
    <n v="4.3"/>
    <n v="0.4"/>
    <n v="4.3"/>
    <n v="0.2"/>
    <n v="4.3"/>
    <n v="5"/>
  </r>
  <r>
    <x v="1"/>
    <s v="Bikes"/>
    <s v="Mountain Bikes"/>
    <x v="2"/>
    <n v="2417"/>
    <n v="2.8"/>
    <n v="32.799999999999997"/>
    <n v="5"/>
    <n v="34.700000000000003"/>
    <n v="2.2000000000000002"/>
    <n v="37.299999999999997"/>
    <n v="1"/>
  </r>
  <r>
    <x v="1"/>
    <s v="Bikes"/>
    <s v="Road Bikes"/>
    <x v="1"/>
    <n v="1297"/>
    <n v="1.8"/>
    <n v="21.7"/>
    <n v="2.9"/>
    <n v="20.2"/>
    <n v="1.1000000000000001"/>
    <n v="18"/>
    <n v="2"/>
  </r>
  <r>
    <x v="1"/>
    <s v="Bikes"/>
    <s v="Touring Bikes"/>
    <x v="5"/>
    <n v="667"/>
    <n v="1"/>
    <n v="12"/>
    <n v="1.6"/>
    <n v="11.1"/>
    <n v="0.6"/>
    <n v="9.6999999999999993"/>
    <n v="3"/>
  </r>
  <r>
    <x v="1"/>
    <s v="Bikes"/>
    <s v="Road Bikes"/>
    <x v="6"/>
    <n v="872"/>
    <n v="0.5"/>
    <n v="6.5"/>
    <n v="0.9"/>
    <n v="6.1"/>
    <n v="0.3"/>
    <n v="5.4"/>
    <n v="4"/>
  </r>
  <r>
    <x v="1"/>
    <s v="Bikes"/>
    <s v="Road Bikes"/>
    <x v="7"/>
    <n v="462"/>
    <n v="0.5"/>
    <n v="6.1"/>
    <n v="0.8"/>
    <n v="5.5"/>
    <n v="0.3"/>
    <n v="4.5999999999999996"/>
    <n v="5"/>
  </r>
  <r>
    <x v="2"/>
    <s v="Bikes"/>
    <s v="Mountain Bikes"/>
    <x v="2"/>
    <n v="2110"/>
    <n v="2.4"/>
    <n v="28.5"/>
    <n v="4.3"/>
    <n v="30.2"/>
    <n v="1.9"/>
    <n v="32.6"/>
    <n v="1"/>
  </r>
  <r>
    <x v="2"/>
    <s v="Bikes"/>
    <s v="Touring Bikes"/>
    <x v="5"/>
    <n v="1196"/>
    <n v="1.8"/>
    <n v="21.7"/>
    <n v="2.9"/>
    <n v="19.8"/>
    <n v="1"/>
    <n v="17.100000000000001"/>
    <n v="2"/>
  </r>
  <r>
    <x v="2"/>
    <s v="Bikes"/>
    <s v="Road Bikes"/>
    <x v="7"/>
    <n v="882"/>
    <n v="1"/>
    <n v="11.7"/>
    <n v="1.5"/>
    <n v="10.4"/>
    <n v="0.5"/>
    <n v="8.6999999999999993"/>
    <n v="3"/>
  </r>
  <r>
    <x v="2"/>
    <s v="Bikes"/>
    <s v="Road Bikes"/>
    <x v="1"/>
    <n v="435"/>
    <n v="0.6"/>
    <n v="7"/>
    <n v="0.9"/>
    <n v="6.6"/>
    <n v="0.4"/>
    <n v="6"/>
    <n v="4"/>
  </r>
  <r>
    <x v="2"/>
    <s v="Bikes"/>
    <s v="Road Bikes"/>
    <x v="6"/>
    <n v="894"/>
    <n v="0.6"/>
    <n v="6.5"/>
    <n v="0.9"/>
    <n v="6.2"/>
    <n v="0.3"/>
    <n v="5.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4D234-B92C-45EA-8898-C2D3B051F7E6}"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delName" colHeaderCaption="Years">
  <location ref="B21:F31" firstHeaderRow="1" firstDataRow="2" firstDataCol="1"/>
  <pivotFields count="12">
    <pivotField axis="axisCol" showAll="0">
      <items count="4">
        <item x="0"/>
        <item x="1"/>
        <item x="2"/>
        <item t="default"/>
      </items>
    </pivotField>
    <pivotField showAll="0"/>
    <pivotField showAll="0"/>
    <pivotField axis="axisRow" showAll="0">
      <items count="9">
        <item x="3"/>
        <item x="2"/>
        <item x="0"/>
        <item x="1"/>
        <item x="7"/>
        <item x="6"/>
        <item x="4"/>
        <item x="5"/>
        <item t="default"/>
      </items>
    </pivotField>
    <pivotField showAll="0"/>
    <pivotField showAll="0"/>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Fields count="1">
    <field x="0"/>
  </colFields>
  <colItems count="4">
    <i>
      <x/>
    </i>
    <i>
      <x v="1"/>
    </i>
    <i>
      <x v="2"/>
    </i>
    <i t="grand">
      <x/>
    </i>
  </colItems>
  <dataFields count="1">
    <dataField name="Sum of NetProfit (M)" fld="9"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DBD9A-CE54-45B4-8340-21DCEF61FF3A}" name="PivotTable3" cacheId="14" applyNumberFormats="0" applyBorderFormats="0" applyFontFormats="0" applyPatternFormats="0" applyAlignmentFormats="0" applyWidthHeightFormats="1" dataCaption="Values" tag="2fd330d7-8699-4b84-94bd-65d63d6503e5" updatedVersion="8" minRefreshableVersion="3" useAutoFormatting="1" subtotalHiddenItems="1" itemPrintTitles="1" createdVersion="8" indent="0" outline="1" outlineData="1" multipleFieldFilters="0" chartFormat="29" rowHeaderCaption="Year" colHeaderCaption="">
  <location ref="U11:V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numFmtId="166"/>
  </dataFields>
  <formats count="1">
    <format dxfId="5">
      <pivotArea outline="0" collapsedLevelsAreSubtotals="1" fieldPosition="0"/>
    </format>
  </formats>
  <chartFormats count="3">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93A13-7D0B-4B1D-BD41-229C3A9250DE}" name="model sales" cacheId="2" applyNumberFormats="0" applyBorderFormats="0" applyFontFormats="0" applyPatternFormats="0" applyAlignmentFormats="0" applyWidthHeightFormats="1" dataCaption="Values" tag="762dfda0-8add-4b44-a7d5-3a7e806f66e5" updatedVersion="8" minRefreshableVersion="3" useAutoFormatting="1" subtotalHiddenItems="1" itemPrintTitles="1" createdVersion="8" indent="0" outline="1" outlineData="1" multipleFieldFilters="0" chartFormat="13" rowHeaderCaption="Product Model" colHeaderCaption="">
  <location ref="N45:R90" firstHeaderRow="1" firstDataRow="2"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3"/>
    <field x="1"/>
  </rowFields>
  <rowItems count="44">
    <i>
      <x/>
    </i>
    <i r="1">
      <x/>
    </i>
    <i r="1">
      <x v="1"/>
    </i>
    <i r="1">
      <x v="4"/>
    </i>
    <i r="1">
      <x v="6"/>
    </i>
    <i r="1">
      <x v="7"/>
    </i>
    <i r="1">
      <x v="8"/>
    </i>
    <i r="1">
      <x v="9"/>
    </i>
    <i r="1">
      <x v="10"/>
    </i>
    <i r="1">
      <x v="11"/>
    </i>
    <i r="1">
      <x v="13"/>
    </i>
    <i r="1">
      <x v="14"/>
    </i>
    <i r="1">
      <x v="15"/>
    </i>
    <i r="1">
      <x v="16"/>
    </i>
    <i r="1">
      <x v="21"/>
    </i>
    <i r="1">
      <x v="23"/>
    </i>
    <i r="1">
      <x v="24"/>
    </i>
    <i r="1">
      <x v="32"/>
    </i>
    <i r="1">
      <x v="33"/>
    </i>
    <i r="1">
      <x v="34"/>
    </i>
    <i r="1">
      <x v="38"/>
    </i>
    <i>
      <x v="1"/>
    </i>
    <i r="1">
      <x v="17"/>
    </i>
    <i r="1">
      <x v="18"/>
    </i>
    <i r="1">
      <x v="19"/>
    </i>
    <i r="1">
      <x v="20"/>
    </i>
    <i r="1">
      <x v="25"/>
    </i>
    <i r="1">
      <x v="26"/>
    </i>
    <i r="1">
      <x v="27"/>
    </i>
    <i r="1">
      <x v="28"/>
    </i>
    <i r="1">
      <x v="29"/>
    </i>
    <i r="1">
      <x v="30"/>
    </i>
    <i r="1">
      <x v="35"/>
    </i>
    <i r="1">
      <x v="36"/>
    </i>
    <i r="1">
      <x v="37"/>
    </i>
    <i>
      <x v="2"/>
    </i>
    <i r="1">
      <x v="2"/>
    </i>
    <i r="1">
      <x v="3"/>
    </i>
    <i r="1">
      <x v="5"/>
    </i>
    <i r="1">
      <x v="12"/>
    </i>
    <i r="1">
      <x v="22"/>
    </i>
    <i r="1">
      <x v="31"/>
    </i>
    <i r="1">
      <x v="39"/>
    </i>
    <i t="grand">
      <x/>
    </i>
  </rowItems>
  <colFields count="1">
    <field x="0"/>
  </colFields>
  <colItems count="4">
    <i>
      <x/>
    </i>
    <i>
      <x v="1"/>
    </i>
    <i>
      <x v="2"/>
    </i>
    <i t="grand">
      <x/>
    </i>
  </colItems>
  <dataFields count="1">
    <dataField name="Sum of Quantity" fld="2" baseField="0" baseItem="0" numFmtId="165"/>
  </dataFields>
  <formats count="4">
    <format dxfId="9">
      <pivotArea outline="0" collapsedLevelsAreSubtotals="1" fieldPosition="0">
        <references count="1">
          <reference field="0" count="2" selected="0">
            <x v="1"/>
            <x v="2"/>
          </reference>
        </references>
      </pivotArea>
    </format>
    <format dxfId="8">
      <pivotArea grandCol="1" outline="0" collapsedLevelsAreSubtotals="1" fieldPosition="0"/>
    </format>
    <format dxfId="7">
      <pivotArea collapsedLevelsAreSubtotals="1" fieldPosition="0">
        <references count="2">
          <reference field="0" count="1" selected="0">
            <x v="0"/>
          </reference>
          <reference field="1" count="39">
            <x v="0"/>
            <x v="1"/>
            <x v="2"/>
            <x v="3"/>
            <x v="4"/>
            <x v="5"/>
            <x v="6"/>
            <x v="7"/>
            <x v="8"/>
            <x v="9"/>
            <x v="10"/>
            <x v="11"/>
            <x v="12"/>
            <x v="13"/>
            <x v="14"/>
            <x v="15"/>
            <x v="16"/>
            <x v="17"/>
            <x v="18"/>
            <x v="19"/>
            <x v="20"/>
            <x v="21"/>
            <x v="22"/>
            <x v="23"/>
            <x v="24"/>
            <x v="25"/>
            <x v="26"/>
            <x v="27"/>
            <x v="28"/>
            <x v="29"/>
            <x v="30"/>
            <x v="31"/>
            <x v="32"/>
            <x v="33"/>
            <x v="34"/>
            <x v="35"/>
            <x v="36"/>
            <x v="37"/>
            <x v="38"/>
          </reference>
        </references>
      </pivotArea>
    </format>
    <format dxfId="6">
      <pivotArea outline="0" collapsedLevelsAreSubtotals="1" fieldPosition="0"/>
    </format>
  </formats>
  <chartFormats count="3">
    <chartFormat chart="12" format="18" series="1">
      <pivotArea type="data" outline="0" fieldPosition="0">
        <references count="2">
          <reference field="4294967294" count="1" selected="0">
            <x v="0"/>
          </reference>
          <reference field="0" count="1" selected="0">
            <x v="0"/>
          </reference>
        </references>
      </pivotArea>
    </chartFormat>
    <chartFormat chart="12" format="19" series="1">
      <pivotArea type="data" outline="0" fieldPosition="0">
        <references count="2">
          <reference field="4294967294" count="1" selected="0">
            <x v="0"/>
          </reference>
          <reference field="0" count="1" selected="0">
            <x v="1"/>
          </reference>
        </references>
      </pivotArea>
    </chartFormat>
    <chartFormat chart="12" format="20" series="1">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Orders"/>
    <pivotHierarchy dragToData="1"/>
    <pivotHierarchy dragToData="1" caption="Sum of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Regional_Trend]"/>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55491-1A7B-492D-9278-E988480448A1}" name="PivotTable17" cacheId="15" applyNumberFormats="0" applyBorderFormats="0" applyFontFormats="0" applyPatternFormats="0" applyAlignmentFormats="0" applyWidthHeightFormats="1" dataCaption="Values" tag="c2bc63b7-a559-44ff-a75d-bfdaaa833cd0" updatedVersion="8" minRefreshableVersion="3" useAutoFormatting="1" itemPrintTitles="1" createdVersion="8" indent="0" outline="1" outlineData="1" multipleFieldFilters="0" chartFormat="3" rowHeaderCaption="Region" colHeaderCaption="">
  <location ref="B46:F58"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Revenue" fld="2" baseField="0" baseItem="0" numFmtId="164"/>
  </dataFields>
  <formats count="1">
    <format dxfId="10">
      <pivotArea outline="0" collapsedLevelsAreSubtotals="1" fieldPosition="0"/>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6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Sales]"/>
        <x15:activeTabTopLevelEntity name="[Year]"/>
        <x15:activeTabTopLevelEntity name="[Cate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FFB3A-69B2-40B2-904E-5862704AF011}" name="PivotTable13" cacheId="0" applyNumberFormats="0" applyBorderFormats="0" applyFontFormats="0" applyPatternFormats="0" applyAlignmentFormats="0" applyWidthHeightFormats="1" dataCaption="Values" tag="05ca25ed-8f78-47d1-9c02-c61648ab0348" updatedVersion="8" minRefreshableVersion="3" useAutoFormatting="1" subtotalHiddenItems="1" itemPrintTitles="1" createdVersion="8" indent="0" outline="1" outlineData="1" multipleFieldFilters="0" rowHeaderCaption="Category">
  <location ref="N13:N17"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6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468602-0582-4608-BE05-9B65B2A557C5}" name="mom" cacheId="19" applyNumberFormats="0" applyBorderFormats="0" applyFontFormats="0" applyPatternFormats="0" applyAlignmentFormats="0" applyWidthHeightFormats="1" dataCaption="Values" tag="41cd75a5-a76b-46af-a376-e5980b8ab0d9" updatedVersion="8" minRefreshableVersion="3" useAutoFormatting="1" subtotalHiddenItems="1" itemPrintTitles="1" createdVersion="8" indent="0" outline="1" outlineData="1" multipleFieldFilters="0" chartFormat="10" rowHeaderCaption="Month" colHeaderCaption="">
  <location ref="B27:F41" firstHeaderRow="1" firstDataRow="2"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Sum of Revenue" fld="2" baseField="0" baseItem="0" numFmtId="164"/>
  </dataFields>
  <formats count="1">
    <format dxfId="11">
      <pivotArea outline="0" collapsedLevelsAreSubtotals="1" fieldPosition="0"/>
    </format>
  </format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Year]"/>
        <x15:activeTabTopLevelEntity name="[Model_wis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32E41F-005C-4F96-B18F-E1A7894E6283}" name="qoqP" cacheId="21" applyNumberFormats="0" applyBorderFormats="0" applyFontFormats="0" applyPatternFormats="0" applyAlignmentFormats="0" applyWidthHeightFormats="1" dataCaption="Values" tag="12c19410-2799-4fa3-884e-7963fd19c724" updatedVersion="8" minRefreshableVersion="3" useAutoFormatting="1" subtotalHiddenItems="1" itemPrintTitles="1" createdVersion="8" indent="0" outline="1" outlineData="1" multipleFieldFilters="0" rowHeaderCaption="Quarter" colHeaderCaption="">
  <location ref="N27:R33"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Profit" fld="2" baseField="0" baseItem="0" numFmtId="164"/>
  </dataFields>
  <formats count="1">
    <format dxfId="12">
      <pivotArea outline="0" collapsedLevelsAreSubtotals="1" fieldPosition="0"/>
    </format>
  </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F75FD-A845-4939-904E-A3D12FB9BD47}" name="qoqQ" cacheId="22" applyNumberFormats="0" applyBorderFormats="0" applyFontFormats="0" applyPatternFormats="0" applyAlignmentFormats="0" applyWidthHeightFormats="1" dataCaption="Values" tag="88536e93-7d32-4b51-aff8-6b57a8ebce94" updatedVersion="8" minRefreshableVersion="3" useAutoFormatting="1" subtotalHiddenItems="1" itemPrintTitles="1" createdVersion="8" indent="0" outline="1" outlineData="1" multipleFieldFilters="0" rowHeaderCaption="Quarter" colHeaderCaption="">
  <location ref="H35:L41"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Quantity" fld="2" baseField="0" baseItem="0" numFmtId="166"/>
  </dataFields>
  <formats count="1">
    <format dxfId="13">
      <pivotArea outline="0" collapsedLevelsAreSubtotals="1" fieldPosition="0"/>
    </format>
  </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35200F-96FC-4D92-9BE2-5686ADFBDD87}" name="PivotTable7" cacheId="9" applyNumberFormats="0" applyBorderFormats="0" applyFontFormats="0" applyPatternFormats="0" applyAlignmentFormats="0" applyWidthHeightFormats="1" dataCaption="Values" tag="a4a6df25-27e3-4d9f-9bee-a2cc81e0f010" updatedVersion="8" minRefreshableVersion="3" useAutoFormatting="1" subtotalHiddenItems="1" itemPrintTitles="1" createdVersion="8" indent="0" outline="1" outlineData="1" multipleFieldFilters="0" rowHeaderCaption="Year" colHeaderCaption="">
  <location ref="L12:L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Profit" fld="0" baseField="0" baseItem="0" numFmtId="164"/>
  </dataFields>
  <formats count="2">
    <format dxfId="15">
      <pivotArea grandRow="1" grandCol="1" outline="0" collapsedLevelsAreSubtotals="1" fieldPosition="0"/>
    </format>
    <format dxfId="14">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886732-6F5F-46D1-A7FF-B0FD6D744495}" name="PivotTable19" cacheId="17" applyNumberFormats="0" applyBorderFormats="0" applyFontFormats="0" applyPatternFormats="0" applyAlignmentFormats="0" applyWidthHeightFormats="1" dataCaption="Values" tag="656b5144-a459-488e-a3d0-e4af4e6f0346" updatedVersion="8" minRefreshableVersion="3" useAutoFormatting="1" itemPrintTitles="1" createdVersion="8" indent="0" outline="1" outlineData="1" multipleFieldFilters="0" rowHeaderCaption="Region" colHeaderCaption="">
  <location ref="H60:L7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ReturnQuantity" fld="2" baseField="0" baseItem="0" numFmtId="166"/>
  </dataFields>
  <formats count="1">
    <format dxfId="16">
      <pivotArea outline="0" collapsedLevelsAreSubtotals="1" fieldPosition="0"/>
    </format>
  </formats>
  <pivotHierarchies count="6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Sales]"/>
        <x15:activeTabTopLevelEntity name="[Cate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5D6348-DFEC-46D2-967D-1570A29D7670}" name="PivotTable5" cacheId="7" applyNumberFormats="0" applyBorderFormats="0" applyFontFormats="0" applyPatternFormats="0" applyAlignmentFormats="0" applyWidthHeightFormats="1" dataCaption="Values" tag="d7a2e2da-046a-4574-9554-a3ec65364c4f" updatedVersion="8" minRefreshableVersion="3" useAutoFormatting="1" subtotalHiddenItems="1" itemPrintTitles="1" createdVersion="8" indent="0" outline="1" outlineData="1" multipleFieldFilters="0" rowHeaderCaption="Year" colHeaderCaption="">
  <location ref="L6:L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166"/>
  </dataFields>
  <formats count="2">
    <format dxfId="18">
      <pivotArea grandRow="1" grandCol="1" outline="0" collapsedLevelsAreSubtotals="1" fieldPosition="0"/>
    </format>
    <format dxfId="17">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17AE1-18BA-4534-95DE-9DCF091177A0}" name="PivotTable20" cacheId="18" applyNumberFormats="0" applyBorderFormats="0" applyFontFormats="0" applyPatternFormats="0" applyAlignmentFormats="0" applyWidthHeightFormats="1" dataCaption="Values" tag="8a807226-3df1-4ff4-81e8-ae5b5749d936" updatedVersion="8" minRefreshableVersion="3" useAutoFormatting="1" itemPrintTitles="1" createdVersion="8" indent="0" outline="1" outlineData="1" multipleFieldFilters="0" rowHeaderCaption="Region" colHeaderCaption="">
  <location ref="B60:F7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FinalQuantity" fld="2" baseField="0" baseItem="0" numFmtId="166"/>
  </dataFields>
  <formats count="1">
    <format dxfId="19">
      <pivotArea outline="0" collapsedLevelsAreSubtotals="1" fieldPosition="0"/>
    </format>
  </formats>
  <pivotHierarchies count="6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Sales]"/>
        <x15:activeTabTopLevelEntity name="[Cate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36BF94-DF5F-4249-B356-2BB4A8BC1911}" name="PivotTable15" cacheId="5" applyNumberFormats="0" applyBorderFormats="0" applyFontFormats="0" applyPatternFormats="0" applyAlignmentFormats="0" applyWidthHeightFormats="1" dataCaption="Values" tag="ce97aa06-c332-494e-9b10-f02726e79e5a" updatedVersion="8" minRefreshableVersion="3" useAutoFormatting="1" subtotalHiddenItems="1" itemPrintTitles="1" createdVersion="8" indent="0" outline="1" outlineData="1" multipleFieldFilters="0" chartFormat="4" rowHeaderCaption="Year" colHeaderCaption="">
  <location ref="B10:F15"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Cost" fld="0" baseField="0" baseItem="0" numFmtId="164"/>
  </dataFields>
  <formats count="1">
    <format dxfId="20">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9CA1E4-A0A0-4D2D-800C-8C51D6A619CB}" name="PivotTable2" cacheId="13" applyNumberFormats="0" applyBorderFormats="0" applyFontFormats="0" applyPatternFormats="0" applyAlignmentFormats="0" applyWidthHeightFormats="1" dataCaption="Values" tag="5b48751f-6f85-4fc1-b00b-5d01bc54b5c6" updatedVersion="8" minRefreshableVersion="3" useAutoFormatting="1" subtotalHiddenItems="1" itemPrintTitles="1" createdVersion="8" indent="0" outline="1" outlineData="1" multipleFieldFilters="0" chartFormat="29" rowHeaderCaption="Year" colHeaderCaption="">
  <location ref="R11:S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ost" fld="1" baseField="0" baseItem="0"/>
  </dataFields>
  <formats count="1">
    <format dxfId="21">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CCD9A3-683F-4019-87BA-147A7DA3EB63}" name="SalesCategory" cacheId="3" applyNumberFormats="0" applyBorderFormats="0" applyFontFormats="0" applyPatternFormats="0" applyAlignmentFormats="0" applyWidthHeightFormats="1" dataCaption="Values" tag="a48f0492-f2ef-45ef-b2e5-cf69af19c25b" updatedVersion="8" minRefreshableVersion="3" useAutoFormatting="1" subtotalHiddenItems="1" itemPrintTitles="1" createdVersion="8" indent="0" outline="1" outlineData="1" multipleFieldFilters="0" chartFormat="3" rowHeaderCaption="Year" colHeaderCaption="">
  <location ref="B3:F8"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Revenue" fld="0" baseField="0" baseItem="0" numFmtId="164"/>
  </dataFields>
  <formats count="1">
    <format dxfId="22">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A5573B-5DC9-4179-BF32-6F325A2B1992}" name="PivotTable8" cacheId="10" applyNumberFormats="0" applyBorderFormats="0" applyFontFormats="0" applyPatternFormats="0" applyAlignmentFormats="0" applyWidthHeightFormats="1" dataCaption="Values" tag="b0a3a956-44fe-47ae-b96c-809564525085" updatedVersion="8" minRefreshableVersion="3" useAutoFormatting="1" subtotalHiddenItems="1" itemPrintTitles="1" createdVersion="8" indent="0" outline="1" outlineData="1" multipleFieldFilters="0" rowHeaderCaption="Year" colHeaderCaption="">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Revenue" fld="0" baseField="0" baseItem="0" numFmtId="164"/>
  </dataFields>
  <formats count="2">
    <format dxfId="24">
      <pivotArea grandRow="1" grandCol="1" outline="0" collapsedLevelsAreSubtotals="1" fieldPosition="0"/>
    </format>
    <format dxfId="23">
      <pivotArea outline="0" collapsedLevelsAreSubtotals="1" fieldPosition="0"/>
    </format>
  </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38E824-5B83-45F8-B55F-7118800287B2}" name="PivotTable1" cacheId="12" applyNumberFormats="0" applyBorderFormats="0" applyFontFormats="0" applyPatternFormats="0" applyAlignmentFormats="0" applyWidthHeightFormats="1" dataCaption="Values" tag="9f1cf90b-8d4e-45bf-80be-e9391d014e4b" updatedVersion="8" minRefreshableVersion="3" useAutoFormatting="1" subtotalHiddenItems="1" itemPrintTitles="1" createdVersion="8" indent="0" outline="1" outlineData="1" multipleFieldFilters="0" chartFormat="27" rowHeaderCaption="Year" colHeaderCaption="">
  <location ref="U5:V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formats count="1">
    <format dxfId="25">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9598EB8-A66B-4777-BB6C-B5520FF04515}" name="qoqR" cacheId="23" applyNumberFormats="0" applyBorderFormats="0" applyFontFormats="0" applyPatternFormats="0" applyAlignmentFormats="0" applyWidthHeightFormats="1" dataCaption="Values" tag="e351a9c5-c410-4d94-84a9-f4e67713e5dc" updatedVersion="8" minRefreshableVersion="3" useAutoFormatting="1" subtotalHiddenItems="1" itemPrintTitles="1" createdVersion="8" indent="0" outline="1" outlineData="1" multipleFieldFilters="0" rowHeaderCaption="Quarter" colHeaderCaption="">
  <location ref="H27:L33"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4">
    <i>
      <x/>
    </i>
    <i>
      <x v="1"/>
    </i>
    <i>
      <x v="2"/>
    </i>
    <i t="grand">
      <x/>
    </i>
  </colItems>
  <dataFields count="1">
    <dataField name="Sum of Revenue" fld="1" baseField="0" baseItem="0" numFmtId="164"/>
  </dataFields>
  <formats count="1">
    <format dxfId="26">
      <pivotArea outline="0" collapsedLevelsAreSubtotals="1" fieldPosition="0"/>
    </format>
  </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C4EC3F5-0AE7-4353-A408-7031F9C3B112}" name="PivotTable9" cacheId="11" applyNumberFormats="0" applyBorderFormats="0" applyFontFormats="0" applyPatternFormats="0" applyAlignmentFormats="0" applyWidthHeightFormats="1" dataCaption="Values" tag="9ee49347-e9df-4ef1-a73e-db4b37cf4106" updatedVersion="8" minRefreshableVersion="3" useAutoFormatting="1" subtotalHiddenItems="1" itemPrintTitles="1" createdVersion="8" indent="0" outline="1" outlineData="1" multipleFieldFilters="0" chartFormat="32" rowHeaderCaption="Year" colHeaderCaption="">
  <location ref="R5:S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formats count="1">
    <format dxfId="27">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pivotHierarchy dragToData="1"/>
    <pivotHierarchy dragToData="1" caption="Sum of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C7C1E2-A7A4-4A84-BEA7-FC17EF4E27CA}" name="PivotTable16" cacheId="6" applyNumberFormats="0" applyBorderFormats="0" applyFontFormats="0" applyPatternFormats="0" applyAlignmentFormats="0" applyWidthHeightFormats="1" dataCaption="Values" tag="bf95bbd0-484c-4e9e-b57a-529aa777cade" updatedVersion="8" minRefreshableVersion="3" useAutoFormatting="1" subtotalHiddenItems="1" itemPrintTitles="1" createdVersion="8" indent="0" outline="1" outlineData="1" multipleFieldFilters="0" chartFormat="2" rowHeaderCaption="Year" colHeaderCaption="">
  <location ref="G10:K15"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Profit" fld="0" baseField="0" baseItem="0" numFmtId="164"/>
  </dataFields>
  <formats count="1">
    <format dxfId="28">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Orders"/>
    <pivotHierarchy dragToData="1"/>
    <pivotHierarchy dragToData="1" caption="Sum of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9B6868-B14D-4E93-89AA-9B2ED6038FD4}" name="PivotTable18" cacheId="16" applyNumberFormats="0" applyBorderFormats="0" applyFontFormats="0" applyPatternFormats="0" applyAlignmentFormats="0" applyWidthHeightFormats="1" dataCaption="Values" tag="b8bd5517-65a3-4a79-a5c4-e5d21eb285f1" updatedVersion="8" minRefreshableVersion="3" useAutoFormatting="1" itemPrintTitles="1" createdVersion="8" indent="0" outline="1" outlineData="1" multipleFieldFilters="0" rowHeaderCaption="Region" colHeaderCaption="">
  <location ref="H46:L58"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OrderQuantity" fld="2" baseField="0" baseItem="0" numFmtId="166"/>
  </dataFields>
  <formats count="1">
    <format dxfId="29">
      <pivotArea outline="0" collapsedLevelsAreSubtotals="1" fieldPosition="0"/>
    </format>
  </formats>
  <pivotHierarchies count="6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Sales]"/>
        <x15:activeTabTopLevelEntity name="[Cate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88CBBF1-3C61-46B0-A669-170C83A411F3}" name="PivotTable14" cacheId="4" applyNumberFormats="0" applyBorderFormats="0" applyFontFormats="0" applyPatternFormats="0" applyAlignmentFormats="0" applyWidthHeightFormats="1" dataCaption="Values" tag="b7ddf70f-e979-4575-b96e-5e67ccf2fa8c" updatedVersion="8" minRefreshableVersion="3" useAutoFormatting="1" subtotalHiddenItems="1" itemPrintTitles="1" createdVersion="8" indent="0" outline="1" outlineData="1" multipleFieldFilters="0" chartFormat="2" rowHeaderCaption="Year" colHeaderCaption="">
  <location ref="G3:K8"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Quantity" fld="0" baseField="0" baseItem="0" numFmtId="164"/>
  </dataFields>
  <formats count="2">
    <format dxfId="31">
      <pivotArea outline="0" collapsedLevelsAreSubtotals="1" fieldPosition="0"/>
    </format>
    <format dxfId="30">
      <pivotArea grandRow="1" grandCol="1"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8F82B9-680F-4127-880C-CD677DC74737}" name="qoqC" cacheId="20" applyNumberFormats="0" applyBorderFormats="0" applyFontFormats="0" applyPatternFormats="0" applyAlignmentFormats="0" applyWidthHeightFormats="1" dataCaption="Values" tag="9e026cb8-2881-4d26-86be-35cbd0e6bec3" updatedVersion="8" minRefreshableVersion="3" useAutoFormatting="1" subtotalHiddenItems="1" itemPrintTitles="1" createdVersion="8" indent="0" outline="1" outlineData="1" multipleFieldFilters="0" rowHeaderCaption="Quarter" colHeaderCaption="">
  <location ref="N35:R41"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Total Cost" fld="2" baseField="0" baseItem="0" numFmtId="164"/>
  </dataFields>
  <formats count="1">
    <format dxfId="32">
      <pivotArea outline="0" collapsedLevelsAreSubtotals="1" fieldPosition="0"/>
    </format>
  </formats>
  <pivotHierarchies count="6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6333877-A5F4-4915-8DDC-19C41213D4AC}" name="PivotTable6" cacheId="8" applyNumberFormats="0" applyBorderFormats="0" applyFontFormats="0" applyPatternFormats="0" applyAlignmentFormats="0" applyWidthHeightFormats="1" dataCaption="Values" tag="3fa52268-3631-4074-b51a-e463194933be" updatedVersion="8" minRefreshableVersion="3" useAutoFormatting="1" subtotalHiddenItems="1" itemPrintTitles="1" createdVersion="8" indent="0" outline="1" outlineData="1" multipleFieldFilters="0" rowHeaderCaption="Year" colHeaderCaption="">
  <location ref="L9:L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fld="0" baseField="0" baseItem="0" numFmtId="164"/>
  </dataFields>
  <formats count="2">
    <format dxfId="34">
      <pivotArea grandRow="1" grandCol="1" outline="0" collapsedLevelsAreSubtotals="1" fieldPosition="0"/>
    </format>
    <format dxfId="33">
      <pivotArea outline="0" collapsedLevelsAreSubtotals="1" fieldPosition="0"/>
    </format>
  </formats>
  <pivotHierarchies count="64">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caption="Sum of Total Cost"/>
    <pivotHierarchy dragToData="1"/>
    <pivotHierarchy dragToData="1" caption="Sum of Quantity"/>
    <pivotHierarchy dragToData="1" caption="Sum of Revenue"/>
    <pivotHierarchy dragToData="1" caption="Sum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M_Sales]"/>
        <x15:activeTabTopLevelEntity name="[Model_wise_Sales]"/>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E64D2F4-2E13-4F24-9396-B76A362B103A}" sourceName="[Year].[Year]">
  <pivotTables>
    <pivotTable tabId="2" name="mom"/>
    <pivotTable tabId="2" name="qoqC"/>
    <pivotTable tabId="2" name="qoqP"/>
    <pivotTable tabId="2" name="qoqQ"/>
    <pivotTable tabId="2" name="model sales"/>
    <pivotTable tabId="2" name="qoqR"/>
    <pivotTable tabId="2" name="SalesCategory"/>
    <pivotTable tabId="2" name="PivotTable14"/>
    <pivotTable tabId="2" name="PivotTable15"/>
    <pivotTable tabId="2" name="PivotTable16"/>
    <pivotTable tabId="2" name="PivotTable5"/>
    <pivotTable tabId="2" name="PivotTable6"/>
    <pivotTable tabId="2" name="PivotTable7"/>
    <pivotTable tabId="2" name="PivotTable8"/>
    <pivotTable tabId="2" name="PivotTable9"/>
    <pivotTable tabId="2" name="PivotTable1"/>
    <pivotTable tabId="2" name="PivotTable2"/>
    <pivotTable tabId="2" name="PivotTable3"/>
    <pivotTable tabId="2" name="PivotTable17"/>
    <pivotTable tabId="2" name="PivotTable18"/>
    <pivotTable tabId="2" name="PivotTable19"/>
    <pivotTable tabId="2" name="PivotTable20"/>
  </pivotTables>
  <data>
    <olap pivotCacheId="938725616">
      <levels count="2">
        <level uniqueName="[Year].[Year].[(All)]" sourceCaption="(All)" count="0"/>
        <level uniqueName="[Year].[Year].[Year]" sourceCaption="Year" count="3">
          <ranges>
            <range startItem="0">
              <i n="[Year].[Year].&amp;[2015]" c="2015"/>
              <i n="[Year].[Year].&amp;[2016]" c="2016"/>
              <i n="[Year].[Year].&amp;[2017]" c="2017"/>
            </range>
          </ranges>
        </level>
      </levels>
      <selections count="1">
        <selection n="[Ye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FEB9E3A9-617D-4B11-95DD-8DCE211DFD87}" sourceName="[MOM_Sales].[Quarter]">
  <pivotTables>
    <pivotTable tabId="2" name="mom"/>
    <pivotTable tabId="2" name="qoqC"/>
    <pivotTable tabId="2" name="qoqP"/>
    <pivotTable tabId="2" name="qoqQ"/>
    <pivotTable tabId="2" name="qoqR"/>
  </pivotTables>
  <data>
    <olap pivotCacheId="938725616">
      <levels count="2">
        <level uniqueName="[MOM_Sales].[Quarter].[(All)]" sourceCaption="(All)" count="0"/>
        <level uniqueName="[MOM_Sales].[Quarter].[Quarter]" sourceCaption="Quarter" count="4">
          <ranges>
            <range startItem="0">
              <i n="[MOM_Sales].[Quarter].&amp;[1]" c="1"/>
              <i n="[MOM_Sales].[Quarter].&amp;[2]" c="2"/>
              <i n="[MOM_Sales].[Quarter].&amp;[3]" c="3"/>
              <i n="[MOM_Sales].[Quarter].&amp;[4]" c="4"/>
            </range>
          </ranges>
        </level>
      </levels>
      <selections count="1">
        <selection n="[MOM_Sales].[Quarter].[All]"/>
      </selections>
    </olap>
  </data>
  <extLst>
    <x:ext xmlns:x15="http://schemas.microsoft.com/office/spreadsheetml/2010/11/main" uri="{470722E0-AACD-4C17-9CDC-17EF765DBC7E}">
      <x15:slicerCacheHideItemsWithNoData count="1">
        <x15:slicerCacheOlapLevelName uniqueName="[MOM_Sales].[Quarter].[Quart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1461BD-EDB6-41D5-9926-75BEA2472308}" sourceName="[Cateory].[Category]">
  <pivotTables>
    <pivotTable tabId="2" name="SalesCategory"/>
    <pivotTable tabId="2" name="PivotTable17"/>
    <pivotTable tabId="2" name="PivotTable18"/>
    <pivotTable tabId="2" name="PivotTable19"/>
    <pivotTable tabId="2" name="PivotTable20"/>
    <pivotTable tabId="2" name="PivotTable13"/>
    <pivotTable tabId="2" name="PivotTable14"/>
    <pivotTable tabId="2" name="PivotTable15"/>
    <pivotTable tabId="2" name="PivotTable16"/>
    <pivotTable tabId="2" name="PivotTable1"/>
    <pivotTable tabId="2" name="PivotTable2"/>
    <pivotTable tabId="2" name="PivotTable3"/>
    <pivotTable tabId="2" name="PivotTable5"/>
    <pivotTable tabId="2" name="PivotTable6"/>
    <pivotTable tabId="2" name="PivotTable7"/>
  </pivotTables>
  <data>
    <olap pivotCacheId="21767032">
      <levels count="2">
        <level uniqueName="[Cateory].[Category].[(All)]" sourceCaption="(All)" count="0"/>
        <level uniqueName="[Cateory].[Category].[Category]" sourceCaption="Category" count="3">
          <ranges>
            <range startItem="0">
              <i n="[Cateory].[Category].&amp;[Accessories]" c="Accessories"/>
              <i n="[Cateory].[Category].&amp;[Bikes]" c="Bikes"/>
              <i n="[Cateory].[Category].&amp;[Clothing]" c="Clothing"/>
            </range>
          </ranges>
        </level>
      </levels>
      <selections count="1">
        <selection n="[Cateory].[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CCB1074-1B5E-41B9-8E12-546D0EE5B0EF}" cache="Slicer_Year1" caption="Year" columnCount="3" showCaption="0" level="1" style="Slicer Style 1" rowHeight="241300"/>
  <slicer name="Quarter 3" xr10:uid="{D753CF3E-34A5-4ACA-837E-1CB04B8DDE3D}" cache="Slicer_Quarter1" caption="Quarter" columnCount="4" showCaption="0" level="1" style="Slicer Style 1" rowHeight="241300"/>
  <slicer name="Category" xr10:uid="{2B115185-661B-4E64-B494-D7F0A8871F0A}" cache="Slicer_Category" caption="Category" columnCount="3" showCaption="0"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4555400-371F-498D-BA10-592DA430BC0C}" cache="Slicer_Year1" caption="Year" columnCount="3" showCaption="0" level="1" style="Slicer Style 1" rowHeight="241300"/>
  <slicer name="Quarter 2" xr10:uid="{959019F7-4331-43D9-AFC7-7FE991211C32}" cache="Slicer_Quarter1" caption="Quarter" columnCount="4" showCaption="0" level="1" style="Slicer Style 1" rowHeight="241300"/>
  <slicer name="Category 1" xr10:uid="{40938AA6-B1D1-412C-BF02-538F094BC53B}" cache="Slicer_Category" caption="Category" columnCount="3" showCaption="0"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063C60-82F7-4AEF-AC01-E880F9DD50F5}" name="MOM_Sales" displayName="MOM_Sales" ref="C186:M216" totalsRowShown="0" headerRowDxfId="107" dataDxfId="105" headerRowBorderDxfId="106" tableBorderDxfId="104">
  <autoFilter ref="C186:M216" xr:uid="{E1063C60-82F7-4AEF-AC01-E880F9DD50F5}"/>
  <tableColumns count="11">
    <tableColumn id="1" xr3:uid="{E9BA9140-6F49-4E98-B662-6EFFDF08B424}" name="Year" dataDxfId="103"/>
    <tableColumn id="2" xr3:uid="{80C236A7-C8C5-46FC-90F2-BBFD04944280}" name="Quarter" dataDxfId="102"/>
    <tableColumn id="3" xr3:uid="{ED213FB9-60FA-44DF-A5B3-85424C3AF736}" name="Month" dataDxfId="101"/>
    <tableColumn id="4" xr3:uid="{2C1A0AF5-4C11-4EB2-84C0-5142E41CE801}" name="Order Quantity" dataDxfId="100"/>
    <tableColumn id="5" xr3:uid="{E1E66E22-43D9-439F-8752-0AB1BFAFAA5C}" name="Return Quantity" dataDxfId="99"/>
    <tableColumn id="6" xr3:uid="{50A76465-D482-4F1B-A56A-98D96E216202}" name="Final Quantity" dataDxfId="98"/>
    <tableColumn id="7" xr3:uid="{81D18F52-D5E8-444E-A9DE-50FEA3ECE826}" name="Total Revenue" dataDxfId="97"/>
    <tableColumn id="8" xr3:uid="{6295C21A-9A64-4058-95E0-33832482AF24}" name="RevenueLost" dataDxfId="96"/>
    <tableColumn id="9" xr3:uid="{8DD3E112-370F-4721-8C93-3D8AD96E5489}" name="NetRev" dataDxfId="95"/>
    <tableColumn id="10" xr3:uid="{BA849B05-2D02-4536-9B45-9AE0172253F6}" name="TotalCost" dataDxfId="94"/>
    <tableColumn id="11" xr3:uid="{86401A57-AEC3-4621-B485-73A843AFBFD4}" name="Profit" dataDxfId="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477929-3E7F-4AC3-941E-A1D32053A85A}" name="Regional_Trend" displayName="Regional_Trend" ref="C337:N365" totalsRowShown="0" headerRowDxfId="92" dataDxfId="90" headerRowBorderDxfId="91" tableBorderDxfId="89">
  <autoFilter ref="C337:N365" xr:uid="{83477929-3E7F-4AC3-941E-A1D32053A85A}"/>
  <tableColumns count="12">
    <tableColumn id="1" xr3:uid="{A890EDE2-0194-4A77-B661-6B502FDD5E99}" name="Year" dataDxfId="88"/>
    <tableColumn id="2" xr3:uid="{A0F883E5-1DBB-4C77-8FCC-5D603DAA22FA}" name="Continent" dataDxfId="87"/>
    <tableColumn id="3" xr3:uid="{88163D17-1883-4961-8EA3-7A2BED9674F1}" name="Country" dataDxfId="86"/>
    <tableColumn id="4" xr3:uid="{0B9B53D4-74F9-440F-AD1C-4A6FF0CBC1B4}" name="Region" dataDxfId="85"/>
    <tableColumn id="5" xr3:uid="{4AEFF9B6-FCC2-4A02-A998-F90D437195B0}" name="OrderQuantity" dataDxfId="84"/>
    <tableColumn id="6" xr3:uid="{1CAB8AC9-44FB-4B90-AB70-52A3F53BE426}" name="ReturnQuantity" dataDxfId="83"/>
    <tableColumn id="7" xr3:uid="{18A09E9A-8CF7-41CA-91C9-56B871B1D71A}" name="Final Quantity" dataDxfId="82"/>
    <tableColumn id="8" xr3:uid="{742487A4-AB51-4AF4-B254-7423CBEB1968}" name="OrderValue" dataDxfId="81"/>
    <tableColumn id="9" xr3:uid="{6AF0A87B-9BA0-4F87-85A6-60E3E26DB8A7}" name="ReturnValue" dataDxfId="80"/>
    <tableColumn id="10" xr3:uid="{44865A62-2A18-4D9F-BE2A-4740861C5B15}" name="Rev_Gen" dataDxfId="79"/>
    <tableColumn id="11" xr3:uid="{5F903033-4FE2-448E-999E-88B87C31EE63}" name="Cost" dataDxfId="78"/>
    <tableColumn id="12" xr3:uid="{E053903F-588D-4999-AF95-136BF82C6FFE}" name="Profit" dataDxfId="7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9F9D6A-C88E-426D-9C4D-A5852863595D}" name="Model_wise_Sales" displayName="Model_wise_Sales" ref="C56:K137" totalsRowShown="0" headerRowDxfId="76" dataDxfId="74" headerRowBorderDxfId="75" tableBorderDxfId="73">
  <autoFilter ref="C56:K137" xr:uid="{089F9D6A-C88E-426D-9C4D-A5852863595D}"/>
  <tableColumns count="9">
    <tableColumn id="1" xr3:uid="{DABFAB74-DC5E-4DF1-B2A4-FB62426BE13B}" name="Year" dataDxfId="72"/>
    <tableColumn id="2" xr3:uid="{20E431ED-32AD-4734-BB67-CEEB9925AD7C}" name="CategoryName" dataDxfId="71"/>
    <tableColumn id="3" xr3:uid="{AD565D3A-CC7B-4E40-BF0D-41ADDB9ECD21}" name="ModelName" dataDxfId="70"/>
    <tableColumn id="4" xr3:uid="{DE4F801C-A1F7-4796-B0BF-C37EFDEE6840}" name="TotalOrders" dataDxfId="69"/>
    <tableColumn id="5" xr3:uid="{5552348E-FA7A-4E6D-B522-70FD5EB5482F}" name="TotalRetrns" dataDxfId="68"/>
    <tableColumn id="6" xr3:uid="{9601B226-9DEA-4A11-AF60-14206A2756AB}" name="NetOrders" dataDxfId="67"/>
    <tableColumn id="7" xr3:uid="{5EF8F75A-E36D-4DE9-8D37-1B9BF88C1D0B}" name="Cost" dataDxfId="66"/>
    <tableColumn id="8" xr3:uid="{2B1879A4-C9D3-4C51-8CCE-9779736543FD}" name="NetRevenue" dataDxfId="65"/>
    <tableColumn id="9" xr3:uid="{B5CF4F7A-CD71-46DC-AEC4-F50DE7A9B9DA}" name="NetProfit" dataDxfId="6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1C1723-3EDA-49DA-AECE-C5A8E6F9FBBC}" name="TerritorySales" displayName="TerritorySales" ref="C389:M456" totalsRowShown="0" headerRowDxfId="63" dataDxfId="61" headerRowBorderDxfId="62" tableBorderDxfId="60">
  <autoFilter ref="C389:M456" xr:uid="{081C1723-3EDA-49DA-AECE-C5A8E6F9FBBC}"/>
  <tableColumns count="11">
    <tableColumn id="1" xr3:uid="{3709B50B-4016-4E9C-B6E6-A6B596EBE251}" name="Year" dataDxfId="59"/>
    <tableColumn id="2" xr3:uid="{EC27F243-4FAC-4F48-B987-B94E333B2E9A}" name="Continent" dataDxfId="58"/>
    <tableColumn id="3" xr3:uid="{846D5C08-4469-4DB7-82FE-A0B71E600191}" name="Country" dataDxfId="57"/>
    <tableColumn id="4" xr3:uid="{6182178F-F262-4332-BB55-DBE67FFD065A}" name="Region" dataDxfId="56"/>
    <tableColumn id="5" xr3:uid="{0868B602-4C10-43A7-B72E-6E9CD9440B7B}" name="Category" dataDxfId="55"/>
    <tableColumn id="6" xr3:uid="{A89ED8CE-895E-49A6-B6B5-118B8B822AB4}" name="OrderQuantity" dataDxfId="54"/>
    <tableColumn id="7" xr3:uid="{A7E8D0B2-053A-4E7A-A2CF-C22543EEF852}" name="ReturnQuantity" dataDxfId="53"/>
    <tableColumn id="8" xr3:uid="{E5B4113E-4C6F-46B2-AC57-F58700421306}" name="FinalQuantity" dataDxfId="52"/>
    <tableColumn id="9" xr3:uid="{C3E093E8-E5FE-460F-BFB7-A0D46816DE47}" name="OrderValue" dataDxfId="51"/>
    <tableColumn id="10" xr3:uid="{CD5575CE-FE7D-48D8-8515-C9FA4B9A58E9}" name=" ReturnValue" dataDxfId="50"/>
    <tableColumn id="11" xr3:uid="{C1385F37-32A5-4EBE-B64E-7E8883CEC371}" name="Rev_Gen" dataDxfId="4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30ABFD-5912-4F17-9615-2DC4EFA66BCF}" name="yoy_category" displayName="yoy_category" ref="C44:L51" totalsRowShown="0" headerRowDxfId="48" dataDxfId="46" headerRowBorderDxfId="47" tableBorderDxfId="45">
  <autoFilter ref="C44:L51" xr:uid="{3C30ABFD-5912-4F17-9615-2DC4EFA66BCF}"/>
  <tableColumns count="10">
    <tableColumn id="1" xr3:uid="{4F834EF7-1EB8-4FF0-8ACE-B1BCB222BE7E}" name="Year" dataDxfId="44"/>
    <tableColumn id="2" xr3:uid="{D46FA1B3-36A0-40C7-80C8-9E7BAC86CCB4}" name="CategoryName" dataDxfId="43"/>
    <tableColumn id="3" xr3:uid="{F2289F85-5A88-48A2-B474-BA7D3B249A8D}" name="TotalOrders" dataDxfId="42"/>
    <tableColumn id="4" xr3:uid="{8D0365E3-6F2E-4539-852E-4F844B099E10}" name="TotalRetrns" dataDxfId="41"/>
    <tableColumn id="5" xr3:uid="{EC726F70-30B8-4AEF-8389-E99CFF433FD3}" name="NetOrders" dataDxfId="40"/>
    <tableColumn id="6" xr3:uid="{5B58EF95-BB59-4E63-9A24-EB8F7059625E}" name="Cost" dataDxfId="39"/>
    <tableColumn id="7" xr3:uid="{4D7DE743-4837-4C34-AB6D-053565DA7635}" name="OrderRev" dataDxfId="38"/>
    <tableColumn id="8" xr3:uid="{75B75414-59E5-4AEC-8D55-F20F34E6F75E}" name="ReturnRev" dataDxfId="37"/>
    <tableColumn id="9" xr3:uid="{9A0D902B-7417-4FE7-B408-951888A4791C}" name="NetRevenue" dataDxfId="36"/>
    <tableColumn id="10" xr3:uid="{715D3419-DBB0-420E-930A-5E959917049B}" name="NetProfit" dataDxfId="3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BD5242-E09F-4B34-AF14-E3F4A2317F74}" name="Year" displayName="Year" ref="N3:N6" totalsRowShown="0" headerRowDxfId="4" dataDxfId="3" tableBorderDxfId="2">
  <autoFilter ref="N3:N6" xr:uid="{59BD5242-E09F-4B34-AF14-E3F4A2317F74}"/>
  <tableColumns count="1">
    <tableColumn id="1" xr3:uid="{814999C6-2687-4587-BF85-E45881EA68AF}" name="Year" data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9E8A11-DB19-4F4E-A189-2E7BA957D033}" name="Cateory" displayName="Cateory" ref="N8:N11" totalsRowShown="0">
  <autoFilter ref="N8:N11" xr:uid="{E89E8A11-DB19-4F4E-A189-2E7BA957D033}"/>
  <tableColumns count="1">
    <tableColumn id="1" xr3:uid="{42B2A334-6466-4204-8F7C-6044472E2864}"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table" Target="../tables/table7.xml"/><Relationship Id="rId3" Type="http://schemas.openxmlformats.org/officeDocument/2006/relationships/pivotTable" Target="../pivotTables/pivotTable4.xml"/><Relationship Id="rId21" Type="http://schemas.openxmlformats.org/officeDocument/2006/relationships/pivotTable" Target="../pivotTables/pivotTable2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table" Target="../tables/table6.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drawing" Target="../drawings/drawing3.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O505"/>
  <sheetViews>
    <sheetView showGridLines="0" zoomScale="70" zoomScaleNormal="70" workbookViewId="0"/>
  </sheetViews>
  <sheetFormatPr defaultRowHeight="14.5" x14ac:dyDescent="0.35"/>
  <cols>
    <col min="1" max="1" width="4.7265625" style="4" customWidth="1"/>
    <col min="2" max="2" width="5.1796875" style="4" customWidth="1"/>
    <col min="3" max="3" width="13.1796875" style="4" bestFit="1" customWidth="1"/>
    <col min="4" max="4" width="19.7265625" style="4" bestFit="1" customWidth="1"/>
    <col min="5" max="5" width="23.36328125" style="4" bestFit="1" customWidth="1"/>
    <col min="6" max="6" width="22.7265625" style="4" bestFit="1" customWidth="1"/>
    <col min="7" max="7" width="19.6328125" style="4" bestFit="1" customWidth="1"/>
    <col min="8" max="8" width="19.453125" style="4" bestFit="1" customWidth="1"/>
    <col min="9" max="9" width="20.08984375" style="4" bestFit="1" customWidth="1"/>
    <col min="10" max="10" width="22.1796875" style="4" bestFit="1" customWidth="1"/>
    <col min="11" max="11" width="16.453125" style="4" bestFit="1" customWidth="1"/>
    <col min="12" max="12" width="21.54296875" style="4" bestFit="1" customWidth="1"/>
    <col min="13" max="13" width="21.1796875" style="4" bestFit="1" customWidth="1"/>
    <col min="14" max="14" width="10.81640625" style="4" bestFit="1" customWidth="1"/>
    <col min="15" max="15" width="10.36328125" style="4" bestFit="1" customWidth="1"/>
    <col min="16" max="16" width="6.453125" style="4" bestFit="1" customWidth="1"/>
    <col min="17" max="17" width="5.90625" style="4" bestFit="1" customWidth="1"/>
    <col min="18" max="18" width="14.453125" style="4" bestFit="1" customWidth="1"/>
    <col min="19" max="19" width="12.453125" style="4" bestFit="1" customWidth="1"/>
    <col min="20" max="20" width="5.54296875" style="4" bestFit="1" customWidth="1"/>
    <col min="21" max="21" width="11" style="4" bestFit="1" customWidth="1"/>
    <col min="22" max="22" width="13.36328125" style="4" bestFit="1" customWidth="1"/>
    <col min="23" max="23" width="15.90625" style="4" bestFit="1" customWidth="1"/>
    <col min="24" max="24" width="13.36328125" style="4" bestFit="1" customWidth="1"/>
    <col min="25" max="25" width="8.54296875" style="4" bestFit="1" customWidth="1"/>
    <col min="26" max="26" width="12" style="4" bestFit="1" customWidth="1"/>
    <col min="27" max="27" width="15.81640625" style="4" bestFit="1" customWidth="1"/>
    <col min="28" max="28" width="14" style="4" bestFit="1" customWidth="1"/>
    <col min="29" max="30" width="9.1796875" style="4" bestFit="1" customWidth="1"/>
    <col min="31" max="32" width="11.7265625" style="4" bestFit="1" customWidth="1"/>
    <col min="33" max="34" width="9.1796875" style="4" bestFit="1" customWidth="1"/>
    <col min="35" max="35" width="24" style="4" bestFit="1" customWidth="1"/>
    <col min="36" max="36" width="9.453125" style="4" bestFit="1" customWidth="1"/>
    <col min="37" max="37" width="11.26953125" style="4" bestFit="1" customWidth="1"/>
    <col min="38" max="38" width="16.08984375" style="4" bestFit="1" customWidth="1"/>
    <col min="39" max="41" width="12.36328125" style="4" bestFit="1" customWidth="1"/>
    <col min="42" max="42" width="11.81640625" style="4" bestFit="1" customWidth="1"/>
    <col min="43" max="43" width="24.26953125" style="4" bestFit="1" customWidth="1"/>
    <col min="44" max="44" width="11" style="4" bestFit="1" customWidth="1"/>
    <col min="45" max="16384" width="8.7265625" style="4"/>
  </cols>
  <sheetData>
    <row r="2" spans="3:9" ht="14.5" customHeight="1" x14ac:dyDescent="0.35">
      <c r="E2" s="103" t="s">
        <v>126</v>
      </c>
      <c r="F2" s="104"/>
      <c r="G2" s="105"/>
    </row>
    <row r="3" spans="3:9" ht="14.5" customHeight="1" x14ac:dyDescent="0.35">
      <c r="E3" s="106"/>
      <c r="F3" s="107"/>
      <c r="G3" s="108"/>
    </row>
    <row r="4" spans="3:9" ht="21" x14ac:dyDescent="0.35">
      <c r="E4" s="5"/>
      <c r="F4" s="5"/>
    </row>
    <row r="5" spans="3:9" x14ac:dyDescent="0.35">
      <c r="C5" s="6" t="s">
        <v>0</v>
      </c>
      <c r="D5" s="6" t="s">
        <v>1</v>
      </c>
      <c r="F5" s="59" t="s">
        <v>25</v>
      </c>
      <c r="G5" s="59" t="s">
        <v>133</v>
      </c>
      <c r="H5" s="59" t="s">
        <v>134</v>
      </c>
      <c r="I5" s="59" t="s">
        <v>135</v>
      </c>
    </row>
    <row r="6" spans="3:9" x14ac:dyDescent="0.35">
      <c r="C6" s="1">
        <v>2015</v>
      </c>
      <c r="D6" s="56" t="s">
        <v>2</v>
      </c>
      <c r="F6" s="16" t="s">
        <v>3</v>
      </c>
      <c r="G6" s="17">
        <v>12</v>
      </c>
      <c r="H6" s="17">
        <v>27</v>
      </c>
      <c r="I6" s="18">
        <v>29</v>
      </c>
    </row>
    <row r="7" spans="3:9" x14ac:dyDescent="0.35">
      <c r="C7" s="111">
        <v>2016</v>
      </c>
      <c r="D7" s="56" t="s">
        <v>2</v>
      </c>
      <c r="F7" s="19" t="s">
        <v>2</v>
      </c>
      <c r="G7" s="7">
        <v>3</v>
      </c>
      <c r="H7" s="7">
        <v>15</v>
      </c>
      <c r="I7" s="20">
        <v>97</v>
      </c>
    </row>
    <row r="8" spans="3:9" x14ac:dyDescent="0.35">
      <c r="C8" s="111"/>
      <c r="D8" s="57" t="s">
        <v>3</v>
      </c>
      <c r="F8" s="21" t="s">
        <v>21</v>
      </c>
      <c r="G8" s="22">
        <v>8</v>
      </c>
      <c r="H8" s="22">
        <v>12</v>
      </c>
      <c r="I8" s="23">
        <v>35</v>
      </c>
    </row>
    <row r="9" spans="3:9" x14ac:dyDescent="0.35">
      <c r="C9" s="111"/>
      <c r="D9" s="58" t="s">
        <v>4</v>
      </c>
      <c r="F9" s="60" t="s">
        <v>136</v>
      </c>
      <c r="G9" s="60">
        <v>14</v>
      </c>
      <c r="H9" s="60">
        <v>65</v>
      </c>
      <c r="I9" s="60">
        <v>132</v>
      </c>
    </row>
    <row r="10" spans="3:9" x14ac:dyDescent="0.35">
      <c r="C10" s="111">
        <v>2017</v>
      </c>
      <c r="D10" s="57" t="s">
        <v>2</v>
      </c>
    </row>
    <row r="11" spans="3:9" x14ac:dyDescent="0.35">
      <c r="C11" s="111"/>
      <c r="D11" s="57" t="s">
        <v>3</v>
      </c>
    </row>
    <row r="12" spans="3:9" x14ac:dyDescent="0.35">
      <c r="C12" s="111"/>
      <c r="D12" s="58" t="s">
        <v>4</v>
      </c>
    </row>
    <row r="14" spans="3:9" x14ac:dyDescent="0.35">
      <c r="C14" s="112" t="s">
        <v>127</v>
      </c>
      <c r="D14" s="112"/>
      <c r="E14" s="112"/>
      <c r="F14" s="112"/>
      <c r="G14" s="112"/>
      <c r="H14" s="112"/>
      <c r="I14" s="112"/>
    </row>
    <row r="15" spans="3:9" x14ac:dyDescent="0.35">
      <c r="C15" s="112"/>
      <c r="D15" s="112"/>
      <c r="E15" s="112"/>
      <c r="F15" s="112"/>
      <c r="G15" s="112"/>
      <c r="H15" s="112"/>
      <c r="I15" s="112"/>
    </row>
    <row r="17" spans="3:9" x14ac:dyDescent="0.35">
      <c r="C17" s="113" t="s">
        <v>206</v>
      </c>
      <c r="D17" s="114"/>
      <c r="E17" s="114"/>
      <c r="F17" s="114"/>
      <c r="G17" s="114"/>
      <c r="H17" s="114"/>
      <c r="I17" s="115"/>
    </row>
    <row r="18" spans="3:9" x14ac:dyDescent="0.35">
      <c r="C18" s="116"/>
      <c r="D18" s="117"/>
      <c r="E18" s="117"/>
      <c r="F18" s="117"/>
      <c r="G18" s="117"/>
      <c r="H18" s="117"/>
      <c r="I18" s="118"/>
    </row>
    <row r="20" spans="3:9" x14ac:dyDescent="0.35">
      <c r="C20" s="13" t="s">
        <v>0</v>
      </c>
      <c r="D20" s="13" t="s">
        <v>22</v>
      </c>
      <c r="E20" s="13" t="s">
        <v>23</v>
      </c>
      <c r="F20" s="13" t="s">
        <v>27</v>
      </c>
      <c r="G20" s="13" t="s">
        <v>24</v>
      </c>
      <c r="H20" s="13" t="s">
        <v>25</v>
      </c>
      <c r="I20" s="13" t="s">
        <v>26</v>
      </c>
    </row>
    <row r="21" spans="3:9" x14ac:dyDescent="0.35">
      <c r="C21" s="52">
        <v>2015</v>
      </c>
      <c r="D21" s="95">
        <v>312</v>
      </c>
      <c r="E21" s="53" t="s">
        <v>5</v>
      </c>
      <c r="F21" s="95">
        <v>276</v>
      </c>
      <c r="G21" s="53" t="s">
        <v>6</v>
      </c>
      <c r="H21" s="53" t="s">
        <v>2</v>
      </c>
      <c r="I21" s="95">
        <v>3578.27</v>
      </c>
    </row>
    <row r="22" spans="3:9" x14ac:dyDescent="0.35">
      <c r="C22" s="54">
        <v>2015</v>
      </c>
      <c r="D22" s="96">
        <v>313</v>
      </c>
      <c r="E22" s="50" t="s">
        <v>7</v>
      </c>
      <c r="F22" s="96">
        <v>257</v>
      </c>
      <c r="G22" s="50" t="s">
        <v>6</v>
      </c>
      <c r="H22" s="50" t="s">
        <v>2</v>
      </c>
      <c r="I22" s="96">
        <v>3578.27</v>
      </c>
    </row>
    <row r="23" spans="3:9" x14ac:dyDescent="0.35">
      <c r="C23" s="54">
        <v>2015</v>
      </c>
      <c r="D23" s="96">
        <v>310</v>
      </c>
      <c r="E23" s="50" t="s">
        <v>8</v>
      </c>
      <c r="F23" s="96">
        <v>251</v>
      </c>
      <c r="G23" s="50" t="s">
        <v>6</v>
      </c>
      <c r="H23" s="50" t="s">
        <v>2</v>
      </c>
      <c r="I23" s="96">
        <v>3578.27</v>
      </c>
    </row>
    <row r="24" spans="3:9" x14ac:dyDescent="0.35">
      <c r="C24" s="54">
        <v>2015</v>
      </c>
      <c r="D24" s="96">
        <v>314</v>
      </c>
      <c r="E24" s="50" t="s">
        <v>9</v>
      </c>
      <c r="F24" s="96">
        <v>230</v>
      </c>
      <c r="G24" s="50" t="s">
        <v>6</v>
      </c>
      <c r="H24" s="50" t="s">
        <v>2</v>
      </c>
      <c r="I24" s="96">
        <v>3578.27</v>
      </c>
    </row>
    <row r="25" spans="3:9" x14ac:dyDescent="0.35">
      <c r="C25" s="54">
        <v>2015</v>
      </c>
      <c r="D25" s="96">
        <v>311</v>
      </c>
      <c r="E25" s="50" t="s">
        <v>10</v>
      </c>
      <c r="F25" s="96">
        <v>192</v>
      </c>
      <c r="G25" s="50" t="s">
        <v>6</v>
      </c>
      <c r="H25" s="50" t="s">
        <v>2</v>
      </c>
      <c r="I25" s="96">
        <v>3578.27</v>
      </c>
    </row>
    <row r="26" spans="3:9" x14ac:dyDescent="0.35">
      <c r="C26" s="55">
        <v>2016</v>
      </c>
      <c r="D26" s="97">
        <v>477</v>
      </c>
      <c r="E26" s="51" t="s">
        <v>11</v>
      </c>
      <c r="F26" s="97">
        <v>5840</v>
      </c>
      <c r="G26" s="51" t="s">
        <v>12</v>
      </c>
      <c r="H26" s="51" t="s">
        <v>3</v>
      </c>
      <c r="I26" s="97">
        <v>4.99</v>
      </c>
    </row>
    <row r="27" spans="3:9" x14ac:dyDescent="0.35">
      <c r="C27" s="55">
        <v>2016</v>
      </c>
      <c r="D27" s="97">
        <v>480</v>
      </c>
      <c r="E27" s="51" t="s">
        <v>13</v>
      </c>
      <c r="F27" s="97">
        <v>5517</v>
      </c>
      <c r="G27" s="51" t="s">
        <v>14</v>
      </c>
      <c r="H27" s="51" t="s">
        <v>3</v>
      </c>
      <c r="I27" s="97">
        <v>2.29</v>
      </c>
    </row>
    <row r="28" spans="3:9" x14ac:dyDescent="0.35">
      <c r="C28" s="55">
        <v>2016</v>
      </c>
      <c r="D28" s="97">
        <v>214</v>
      </c>
      <c r="E28" s="51" t="s">
        <v>15</v>
      </c>
      <c r="F28" s="97">
        <v>3699</v>
      </c>
      <c r="G28" s="51" t="s">
        <v>16</v>
      </c>
      <c r="H28" s="51" t="s">
        <v>3</v>
      </c>
      <c r="I28" s="97">
        <v>34.99</v>
      </c>
    </row>
    <row r="29" spans="3:9" x14ac:dyDescent="0.35">
      <c r="C29" s="55">
        <v>2016</v>
      </c>
      <c r="D29" s="97">
        <v>215</v>
      </c>
      <c r="E29" s="51" t="s">
        <v>17</v>
      </c>
      <c r="F29" s="97">
        <v>3568</v>
      </c>
      <c r="G29" s="51" t="s">
        <v>16</v>
      </c>
      <c r="H29" s="51" t="s">
        <v>3</v>
      </c>
      <c r="I29" s="97">
        <v>33.644199999999998</v>
      </c>
    </row>
    <row r="30" spans="3:9" x14ac:dyDescent="0.35">
      <c r="C30" s="55">
        <v>2016</v>
      </c>
      <c r="D30" s="97">
        <v>220</v>
      </c>
      <c r="E30" s="51" t="s">
        <v>18</v>
      </c>
      <c r="F30" s="97">
        <v>3535</v>
      </c>
      <c r="G30" s="51" t="s">
        <v>16</v>
      </c>
      <c r="H30" s="51" t="s">
        <v>3</v>
      </c>
      <c r="I30" s="97">
        <v>33.644199999999998</v>
      </c>
    </row>
    <row r="31" spans="3:9" x14ac:dyDescent="0.35">
      <c r="C31" s="46">
        <v>2017</v>
      </c>
      <c r="D31" s="98">
        <v>477</v>
      </c>
      <c r="E31" s="2" t="s">
        <v>11</v>
      </c>
      <c r="F31" s="98">
        <v>7879</v>
      </c>
      <c r="G31" s="2" t="s">
        <v>12</v>
      </c>
      <c r="H31" s="2" t="s">
        <v>3</v>
      </c>
      <c r="I31" s="98">
        <v>4.99</v>
      </c>
    </row>
    <row r="32" spans="3:9" x14ac:dyDescent="0.35">
      <c r="C32" s="46">
        <v>2017</v>
      </c>
      <c r="D32" s="98">
        <v>480</v>
      </c>
      <c r="E32" s="2" t="s">
        <v>13</v>
      </c>
      <c r="F32" s="98">
        <v>6607</v>
      </c>
      <c r="G32" s="2" t="s">
        <v>14</v>
      </c>
      <c r="H32" s="2" t="s">
        <v>3</v>
      </c>
      <c r="I32" s="98">
        <v>2.29</v>
      </c>
    </row>
    <row r="33" spans="3:15" x14ac:dyDescent="0.35">
      <c r="C33" s="46">
        <v>2017</v>
      </c>
      <c r="D33" s="98">
        <v>214</v>
      </c>
      <c r="E33" s="2" t="s">
        <v>15</v>
      </c>
      <c r="F33" s="98">
        <v>5014</v>
      </c>
      <c r="G33" s="2" t="s">
        <v>16</v>
      </c>
      <c r="H33" s="2" t="s">
        <v>3</v>
      </c>
      <c r="I33" s="98">
        <v>34.99</v>
      </c>
    </row>
    <row r="34" spans="3:15" x14ac:dyDescent="0.35">
      <c r="C34" s="46">
        <v>2017</v>
      </c>
      <c r="D34" s="98">
        <v>223</v>
      </c>
      <c r="E34" s="2" t="s">
        <v>19</v>
      </c>
      <c r="F34" s="98">
        <v>4941</v>
      </c>
      <c r="G34" s="2" t="s">
        <v>20</v>
      </c>
      <c r="H34" s="2" t="s">
        <v>4</v>
      </c>
      <c r="I34" s="98">
        <v>8.6441999999999997</v>
      </c>
    </row>
    <row r="35" spans="3:15" x14ac:dyDescent="0.35">
      <c r="C35" s="47">
        <v>2017</v>
      </c>
      <c r="D35" s="99">
        <v>220</v>
      </c>
      <c r="E35" s="48" t="s">
        <v>18</v>
      </c>
      <c r="F35" s="99">
        <v>4723</v>
      </c>
      <c r="G35" s="48" t="s">
        <v>16</v>
      </c>
      <c r="H35" s="48" t="s">
        <v>3</v>
      </c>
      <c r="I35" s="99">
        <v>33.644199999999998</v>
      </c>
    </row>
    <row r="36" spans="3:15" x14ac:dyDescent="0.35">
      <c r="C36" s="2"/>
      <c r="D36" s="2"/>
      <c r="E36" s="2"/>
      <c r="F36" s="2"/>
      <c r="G36" s="2"/>
      <c r="H36" s="2"/>
      <c r="I36" s="2"/>
    </row>
    <row r="37" spans="3:15" x14ac:dyDescent="0.35">
      <c r="C37" s="2"/>
      <c r="D37" s="2"/>
      <c r="E37" s="2"/>
      <c r="F37" s="2"/>
      <c r="G37" s="2"/>
      <c r="H37" s="2"/>
      <c r="I37" s="2"/>
    </row>
    <row r="38" spans="3:15" x14ac:dyDescent="0.35">
      <c r="D38" s="2"/>
      <c r="F38" s="109" t="s">
        <v>129</v>
      </c>
      <c r="G38" s="109"/>
      <c r="H38" s="109"/>
      <c r="I38" s="109"/>
    </row>
    <row r="39" spans="3:15" x14ac:dyDescent="0.35">
      <c r="F39" s="109"/>
      <c r="G39" s="109"/>
      <c r="H39" s="109"/>
      <c r="I39" s="109"/>
      <c r="L39" s="2"/>
      <c r="M39" s="2"/>
      <c r="N39" s="2"/>
      <c r="O39" s="2"/>
    </row>
    <row r="41" spans="3:15" x14ac:dyDescent="0.35">
      <c r="C41" s="119" t="s">
        <v>215</v>
      </c>
      <c r="D41" s="119"/>
      <c r="E41" s="119"/>
      <c r="F41" s="119"/>
      <c r="G41" s="119"/>
      <c r="H41" s="119"/>
      <c r="I41" s="119"/>
      <c r="J41" s="119"/>
      <c r="K41" s="119"/>
      <c r="L41" s="119"/>
    </row>
    <row r="42" spans="3:15" x14ac:dyDescent="0.35">
      <c r="C42" s="119"/>
      <c r="D42" s="119"/>
      <c r="E42" s="119"/>
      <c r="F42" s="119"/>
      <c r="G42" s="119"/>
      <c r="H42" s="119"/>
      <c r="I42" s="119"/>
      <c r="J42" s="119"/>
      <c r="K42" s="119"/>
      <c r="L42" s="119"/>
    </row>
    <row r="43" spans="3:15" ht="21" x14ac:dyDescent="0.35">
      <c r="C43" s="65"/>
      <c r="D43" s="65"/>
      <c r="E43" s="65"/>
      <c r="F43" s="65"/>
      <c r="G43" s="65"/>
      <c r="H43" s="65"/>
      <c r="I43" s="65"/>
      <c r="J43" s="65"/>
      <c r="K43" s="65"/>
      <c r="L43" s="65"/>
    </row>
    <row r="44" spans="3:15" x14ac:dyDescent="0.35">
      <c r="C44" s="76" t="s">
        <v>0</v>
      </c>
      <c r="D44" s="77" t="s">
        <v>25</v>
      </c>
      <c r="E44" s="77" t="s">
        <v>130</v>
      </c>
      <c r="F44" s="77" t="s">
        <v>210</v>
      </c>
      <c r="G44" s="77" t="s">
        <v>211</v>
      </c>
      <c r="H44" s="77" t="s">
        <v>131</v>
      </c>
      <c r="I44" s="77" t="s">
        <v>212</v>
      </c>
      <c r="J44" s="77" t="s">
        <v>213</v>
      </c>
      <c r="K44" s="77" t="s">
        <v>214</v>
      </c>
      <c r="L44" s="78" t="s">
        <v>132</v>
      </c>
    </row>
    <row r="45" spans="3:15" x14ac:dyDescent="0.35">
      <c r="C45" s="17">
        <v>2015</v>
      </c>
      <c r="D45" s="17" t="s">
        <v>2</v>
      </c>
      <c r="E45" s="17">
        <v>3973</v>
      </c>
      <c r="F45" s="17">
        <v>134</v>
      </c>
      <c r="G45" s="17">
        <v>3839</v>
      </c>
      <c r="H45" s="17">
        <v>5716017.7999999998</v>
      </c>
      <c r="I45" s="17">
        <v>9628861</v>
      </c>
      <c r="J45" s="17">
        <v>334014.59999999998</v>
      </c>
      <c r="K45" s="17">
        <v>9294846.4000000004</v>
      </c>
      <c r="L45" s="17">
        <v>3578828.6</v>
      </c>
    </row>
    <row r="46" spans="3:15" x14ac:dyDescent="0.35">
      <c r="C46" s="7">
        <v>2016</v>
      </c>
      <c r="D46" s="7" t="s">
        <v>3</v>
      </c>
      <c r="E46" s="7">
        <v>48368</v>
      </c>
      <c r="F46" s="7">
        <v>729</v>
      </c>
      <c r="G46" s="7">
        <v>47639</v>
      </c>
      <c r="H46" s="7">
        <v>368868.5</v>
      </c>
      <c r="I46" s="7">
        <v>996819.1</v>
      </c>
      <c r="J46" s="7">
        <v>13618</v>
      </c>
      <c r="K46" s="7">
        <v>983201.1</v>
      </c>
      <c r="L46" s="7">
        <v>614332.6</v>
      </c>
    </row>
    <row r="47" spans="3:15" x14ac:dyDescent="0.35">
      <c r="C47" s="7">
        <v>2016</v>
      </c>
      <c r="D47" s="7" t="s">
        <v>2</v>
      </c>
      <c r="E47" s="7">
        <v>8541</v>
      </c>
      <c r="F47" s="7">
        <v>259</v>
      </c>
      <c r="G47" s="7">
        <v>8282</v>
      </c>
      <c r="H47" s="7">
        <v>7769787.2999999998</v>
      </c>
      <c r="I47" s="7">
        <v>13295030.9</v>
      </c>
      <c r="J47" s="7">
        <v>394427.8</v>
      </c>
      <c r="K47" s="7">
        <v>12900603.1</v>
      </c>
      <c r="L47" s="7">
        <v>5130815.8</v>
      </c>
    </row>
    <row r="48" spans="3:15" x14ac:dyDescent="0.35">
      <c r="C48" s="7">
        <v>2016</v>
      </c>
      <c r="D48" s="7" t="s">
        <v>21</v>
      </c>
      <c r="E48" s="7">
        <v>13964</v>
      </c>
      <c r="F48" s="7">
        <v>157</v>
      </c>
      <c r="G48" s="7">
        <v>13807</v>
      </c>
      <c r="H48" s="7">
        <v>285949</v>
      </c>
      <c r="I48" s="7">
        <v>483593.4</v>
      </c>
      <c r="J48" s="7">
        <v>5816</v>
      </c>
      <c r="K48" s="7">
        <v>477777.4</v>
      </c>
      <c r="L48" s="7">
        <v>191828.4</v>
      </c>
    </row>
    <row r="49" spans="3:12" x14ac:dyDescent="0.35">
      <c r="C49" s="7">
        <v>2017</v>
      </c>
      <c r="D49" s="7" t="s">
        <v>3</v>
      </c>
      <c r="E49" s="7">
        <v>62820</v>
      </c>
      <c r="F49" s="7">
        <v>951</v>
      </c>
      <c r="G49" s="7">
        <v>61869</v>
      </c>
      <c r="H49" s="7">
        <v>469638.40000000002</v>
      </c>
      <c r="I49" s="7">
        <v>1269307.8</v>
      </c>
      <c r="J49" s="7">
        <v>17784.099999999999</v>
      </c>
      <c r="K49" s="7">
        <v>1251523.7</v>
      </c>
      <c r="L49" s="7">
        <v>781885.3</v>
      </c>
    </row>
    <row r="50" spans="3:12" x14ac:dyDescent="0.35">
      <c r="C50" s="7">
        <v>2017</v>
      </c>
      <c r="D50" s="7" t="s">
        <v>2</v>
      </c>
      <c r="E50" s="7">
        <v>8652</v>
      </c>
      <c r="F50" s="7">
        <v>251</v>
      </c>
      <c r="G50" s="7">
        <v>8401</v>
      </c>
      <c r="H50" s="7">
        <v>7597824.5999999996</v>
      </c>
      <c r="I50" s="7">
        <v>12882930.9</v>
      </c>
      <c r="J50" s="7">
        <v>379557</v>
      </c>
      <c r="K50" s="7">
        <v>12503373.9</v>
      </c>
      <c r="L50" s="7">
        <v>4905549.3</v>
      </c>
    </row>
    <row r="51" spans="3:12" x14ac:dyDescent="0.35">
      <c r="C51" s="7">
        <v>2017</v>
      </c>
      <c r="D51" s="7" t="s">
        <v>21</v>
      </c>
      <c r="E51" s="7">
        <v>19038</v>
      </c>
      <c r="F51" s="7">
        <v>244</v>
      </c>
      <c r="G51" s="7">
        <v>18794</v>
      </c>
      <c r="H51" s="7">
        <v>382394.1</v>
      </c>
      <c r="I51" s="7">
        <v>651117.30000000005</v>
      </c>
      <c r="J51" s="7">
        <v>9602.4</v>
      </c>
      <c r="K51" s="7">
        <v>641514.9</v>
      </c>
      <c r="L51" s="7">
        <v>259120.8</v>
      </c>
    </row>
    <row r="52" spans="3:12" x14ac:dyDescent="0.35">
      <c r="C52" s="2"/>
      <c r="D52" s="2"/>
      <c r="E52" s="2"/>
      <c r="F52" s="2"/>
      <c r="G52" s="2"/>
      <c r="H52" s="2"/>
    </row>
    <row r="53" spans="3:12" ht="21" x14ac:dyDescent="0.35">
      <c r="C53" s="125" t="s">
        <v>138</v>
      </c>
      <c r="D53" s="125"/>
      <c r="E53" s="125"/>
      <c r="F53" s="125"/>
      <c r="G53" s="125"/>
      <c r="H53" s="125"/>
      <c r="I53" s="125"/>
      <c r="J53" s="125"/>
      <c r="K53" s="125"/>
      <c r="L53" s="15"/>
    </row>
    <row r="54" spans="3:12" ht="21" x14ac:dyDescent="0.35">
      <c r="C54" s="125"/>
      <c r="D54" s="125"/>
      <c r="E54" s="125"/>
      <c r="F54" s="125"/>
      <c r="G54" s="125"/>
      <c r="H54" s="125"/>
      <c r="I54" s="125"/>
      <c r="J54" s="125"/>
      <c r="K54" s="125"/>
      <c r="L54" s="15"/>
    </row>
    <row r="55" spans="3:12" ht="21" x14ac:dyDescent="0.35">
      <c r="C55" s="15"/>
      <c r="D55" s="15"/>
      <c r="E55" s="15"/>
      <c r="F55" s="15"/>
      <c r="G55" s="15"/>
      <c r="H55" s="15"/>
      <c r="I55" s="15"/>
      <c r="J55" s="15"/>
      <c r="K55" s="15"/>
      <c r="L55" s="15"/>
    </row>
    <row r="56" spans="3:12" x14ac:dyDescent="0.35">
      <c r="C56" s="84" t="s">
        <v>0</v>
      </c>
      <c r="D56" s="85" t="s">
        <v>25</v>
      </c>
      <c r="E56" s="85" t="s">
        <v>48</v>
      </c>
      <c r="F56" s="85" t="s">
        <v>130</v>
      </c>
      <c r="G56" s="85" t="s">
        <v>210</v>
      </c>
      <c r="H56" s="85" t="s">
        <v>211</v>
      </c>
      <c r="I56" s="85" t="s">
        <v>131</v>
      </c>
      <c r="J56" s="85" t="s">
        <v>214</v>
      </c>
      <c r="K56" s="86" t="s">
        <v>132</v>
      </c>
    </row>
    <row r="57" spans="3:12" x14ac:dyDescent="0.35">
      <c r="C57" s="17">
        <v>2015</v>
      </c>
      <c r="D57" s="17" t="s">
        <v>2</v>
      </c>
      <c r="E57" s="17" t="s">
        <v>61</v>
      </c>
      <c r="F57" s="17">
        <v>332</v>
      </c>
      <c r="G57" s="17">
        <v>15</v>
      </c>
      <c r="H57" s="17">
        <v>317</v>
      </c>
      <c r="I57" s="17">
        <v>632332.6</v>
      </c>
      <c r="J57" s="17">
        <v>1073596.8999999999</v>
      </c>
      <c r="K57" s="17">
        <v>441264.3</v>
      </c>
    </row>
    <row r="58" spans="3:12" x14ac:dyDescent="0.35">
      <c r="C58" s="7">
        <v>2015</v>
      </c>
      <c r="D58" s="7" t="s">
        <v>2</v>
      </c>
      <c r="E58" s="7" t="s">
        <v>58</v>
      </c>
      <c r="F58" s="7">
        <v>587</v>
      </c>
      <c r="G58" s="7">
        <v>19</v>
      </c>
      <c r="H58" s="7">
        <v>568</v>
      </c>
      <c r="I58" s="7">
        <v>652314.69999999995</v>
      </c>
      <c r="J58" s="7">
        <v>1169512.7</v>
      </c>
      <c r="K58" s="7">
        <v>517198</v>
      </c>
    </row>
    <row r="59" spans="3:12" x14ac:dyDescent="0.35">
      <c r="C59" s="7">
        <v>2015</v>
      </c>
      <c r="D59" s="7" t="s">
        <v>2</v>
      </c>
      <c r="E59" s="7" t="s">
        <v>53</v>
      </c>
      <c r="F59" s="7">
        <v>1206</v>
      </c>
      <c r="G59" s="7">
        <v>45</v>
      </c>
      <c r="H59" s="7">
        <v>1161</v>
      </c>
      <c r="I59" s="7">
        <v>2618580.7999999998</v>
      </c>
      <c r="J59" s="7">
        <v>4154371.4</v>
      </c>
      <c r="K59" s="7">
        <v>1535790.6</v>
      </c>
    </row>
    <row r="60" spans="3:12" x14ac:dyDescent="0.35">
      <c r="C60" s="7">
        <v>2015</v>
      </c>
      <c r="D60" s="7" t="s">
        <v>2</v>
      </c>
      <c r="E60" s="7" t="s">
        <v>55</v>
      </c>
      <c r="F60" s="7">
        <v>1029</v>
      </c>
      <c r="G60" s="7">
        <v>28</v>
      </c>
      <c r="H60" s="7">
        <v>1001</v>
      </c>
      <c r="I60" s="7">
        <v>1431687.3</v>
      </c>
      <c r="J60" s="7">
        <v>2277987.5</v>
      </c>
      <c r="K60" s="7">
        <v>846300.2</v>
      </c>
    </row>
    <row r="61" spans="3:12" x14ac:dyDescent="0.35">
      <c r="C61" s="7">
        <v>2015</v>
      </c>
      <c r="D61" s="7" t="s">
        <v>2</v>
      </c>
      <c r="E61" s="7" t="s">
        <v>62</v>
      </c>
      <c r="F61" s="7">
        <v>222</v>
      </c>
      <c r="G61" s="7">
        <v>4</v>
      </c>
      <c r="H61" s="7">
        <v>218</v>
      </c>
      <c r="I61" s="7">
        <v>134454.1</v>
      </c>
      <c r="J61" s="7">
        <v>218095.3</v>
      </c>
      <c r="K61" s="7">
        <v>83641.2</v>
      </c>
    </row>
    <row r="62" spans="3:12" x14ac:dyDescent="0.35">
      <c r="C62" s="7">
        <v>2015</v>
      </c>
      <c r="D62" s="7" t="s">
        <v>2</v>
      </c>
      <c r="E62" s="7" t="s">
        <v>57</v>
      </c>
      <c r="F62" s="7">
        <v>597</v>
      </c>
      <c r="G62" s="7">
        <v>23</v>
      </c>
      <c r="H62" s="7">
        <v>574</v>
      </c>
      <c r="I62" s="7">
        <v>246648.3</v>
      </c>
      <c r="J62" s="7">
        <v>401282.3</v>
      </c>
      <c r="K62" s="7">
        <v>154634</v>
      </c>
    </row>
    <row r="63" spans="3:12" x14ac:dyDescent="0.35">
      <c r="C63" s="7">
        <v>2016</v>
      </c>
      <c r="D63" s="7" t="s">
        <v>3</v>
      </c>
      <c r="E63" s="7" t="s">
        <v>103</v>
      </c>
      <c r="F63" s="7">
        <v>559</v>
      </c>
      <c r="G63" s="7">
        <v>6</v>
      </c>
      <c r="H63" s="7">
        <v>553</v>
      </c>
      <c r="I63" s="7">
        <v>33241.5</v>
      </c>
      <c r="J63" s="7">
        <v>87927</v>
      </c>
      <c r="K63" s="7">
        <v>54685.5</v>
      </c>
    </row>
    <row r="64" spans="3:12" x14ac:dyDescent="0.35">
      <c r="C64" s="7">
        <v>2016</v>
      </c>
      <c r="D64" s="7" t="s">
        <v>3</v>
      </c>
      <c r="E64" s="7" t="s">
        <v>89</v>
      </c>
      <c r="F64" s="7">
        <v>1660</v>
      </c>
      <c r="G64" s="7">
        <v>15</v>
      </c>
      <c r="H64" s="7">
        <v>1645</v>
      </c>
      <c r="I64" s="7">
        <v>4935.7</v>
      </c>
      <c r="J64" s="7">
        <v>13077.7</v>
      </c>
      <c r="K64" s="7">
        <v>8142</v>
      </c>
    </row>
    <row r="65" spans="3:11" x14ac:dyDescent="0.35">
      <c r="C65" s="7">
        <v>2016</v>
      </c>
      <c r="D65" s="7" t="s">
        <v>3</v>
      </c>
      <c r="E65" s="7" t="s">
        <v>84</v>
      </c>
      <c r="F65" s="7">
        <v>2414</v>
      </c>
      <c r="G65" s="7">
        <v>26</v>
      </c>
      <c r="H65" s="7">
        <v>2388</v>
      </c>
      <c r="I65" s="7">
        <v>19844.3</v>
      </c>
      <c r="J65" s="7">
        <v>52488.2</v>
      </c>
      <c r="K65" s="7">
        <v>32643.9</v>
      </c>
    </row>
    <row r="66" spans="3:11" x14ac:dyDescent="0.35">
      <c r="C66" s="7">
        <v>2016</v>
      </c>
      <c r="D66" s="7" t="s">
        <v>3</v>
      </c>
      <c r="E66" s="7" t="s">
        <v>110</v>
      </c>
      <c r="F66" s="7">
        <v>560</v>
      </c>
      <c r="G66" s="7">
        <v>3</v>
      </c>
      <c r="H66" s="7">
        <v>557</v>
      </c>
      <c r="I66" s="7">
        <v>25132.799999999999</v>
      </c>
      <c r="J66" s="7">
        <v>66840</v>
      </c>
      <c r="K66" s="7">
        <v>41707.199999999997</v>
      </c>
    </row>
    <row r="67" spans="3:11" x14ac:dyDescent="0.35">
      <c r="C67" s="7">
        <v>2016</v>
      </c>
      <c r="D67" s="7" t="s">
        <v>3</v>
      </c>
      <c r="E67" s="7" t="s">
        <v>80</v>
      </c>
      <c r="F67" s="7">
        <v>1538</v>
      </c>
      <c r="G67" s="7">
        <v>29</v>
      </c>
      <c r="H67" s="7">
        <v>1509</v>
      </c>
      <c r="I67" s="7">
        <v>20132.400000000001</v>
      </c>
      <c r="J67" s="7">
        <v>52815</v>
      </c>
      <c r="K67" s="7">
        <v>32682.6</v>
      </c>
    </row>
    <row r="68" spans="3:11" x14ac:dyDescent="0.35">
      <c r="C68" s="7">
        <v>2016</v>
      </c>
      <c r="D68" s="7" t="s">
        <v>3</v>
      </c>
      <c r="E68" s="7" t="s">
        <v>79</v>
      </c>
      <c r="F68" s="7">
        <v>1026</v>
      </c>
      <c r="G68" s="7">
        <v>29</v>
      </c>
      <c r="H68" s="7">
        <v>997</v>
      </c>
      <c r="I68" s="7">
        <v>12509.4</v>
      </c>
      <c r="J68" s="7">
        <v>32502.2</v>
      </c>
      <c r="K68" s="7">
        <v>19992.8</v>
      </c>
    </row>
    <row r="69" spans="3:11" x14ac:dyDescent="0.35">
      <c r="C69" s="7">
        <v>2016</v>
      </c>
      <c r="D69" s="7" t="s">
        <v>3</v>
      </c>
      <c r="E69" s="7" t="s">
        <v>93</v>
      </c>
      <c r="F69" s="7">
        <v>1295</v>
      </c>
      <c r="G69" s="7">
        <v>14</v>
      </c>
      <c r="H69" s="7">
        <v>1281</v>
      </c>
      <c r="I69" s="7">
        <v>26633.4</v>
      </c>
      <c r="J69" s="7">
        <v>70442.100000000006</v>
      </c>
      <c r="K69" s="7">
        <v>43808.7</v>
      </c>
    </row>
    <row r="70" spans="3:11" x14ac:dyDescent="0.35">
      <c r="C70" s="7">
        <v>2016</v>
      </c>
      <c r="D70" s="7" t="s">
        <v>3</v>
      </c>
      <c r="E70" s="7" t="s">
        <v>82</v>
      </c>
      <c r="F70" s="7">
        <v>789</v>
      </c>
      <c r="G70" s="7">
        <v>28</v>
      </c>
      <c r="H70" s="7">
        <v>761</v>
      </c>
      <c r="I70" s="7">
        <v>7374.2</v>
      </c>
      <c r="J70" s="7">
        <v>19017.400000000001</v>
      </c>
      <c r="K70" s="7">
        <v>11643.2</v>
      </c>
    </row>
    <row r="71" spans="3:11" x14ac:dyDescent="0.35">
      <c r="C71" s="7">
        <v>2016</v>
      </c>
      <c r="D71" s="7" t="s">
        <v>3</v>
      </c>
      <c r="E71" s="7" t="s">
        <v>83</v>
      </c>
      <c r="F71" s="7">
        <v>1118</v>
      </c>
      <c r="G71" s="7">
        <v>27</v>
      </c>
      <c r="H71" s="7">
        <v>1091</v>
      </c>
      <c r="I71" s="7">
        <v>8985.7000000000007</v>
      </c>
      <c r="J71" s="7">
        <v>23445.599999999999</v>
      </c>
      <c r="K71" s="7">
        <v>14459.9</v>
      </c>
    </row>
    <row r="72" spans="3:11" x14ac:dyDescent="0.35">
      <c r="C72" s="7">
        <v>2016</v>
      </c>
      <c r="D72" s="7" t="s">
        <v>3</v>
      </c>
      <c r="E72" s="7" t="s">
        <v>91</v>
      </c>
      <c r="F72" s="7">
        <v>1052</v>
      </c>
      <c r="G72" s="7">
        <v>15</v>
      </c>
      <c r="H72" s="7">
        <v>1037</v>
      </c>
      <c r="I72" s="7">
        <v>11799.5</v>
      </c>
      <c r="J72" s="7">
        <v>31099.7</v>
      </c>
      <c r="K72" s="7">
        <v>19300.2</v>
      </c>
    </row>
    <row r="73" spans="3:11" x14ac:dyDescent="0.35">
      <c r="C73" s="7">
        <v>2016</v>
      </c>
      <c r="D73" s="7" t="s">
        <v>3</v>
      </c>
      <c r="E73" s="7" t="s">
        <v>92</v>
      </c>
      <c r="F73" s="7">
        <v>994</v>
      </c>
      <c r="G73" s="7">
        <v>14</v>
      </c>
      <c r="H73" s="7">
        <v>980</v>
      </c>
      <c r="I73" s="7">
        <v>9290.2000000000007</v>
      </c>
      <c r="J73" s="7">
        <v>24490.2</v>
      </c>
      <c r="K73" s="7">
        <v>15200</v>
      </c>
    </row>
    <row r="74" spans="3:11" x14ac:dyDescent="0.35">
      <c r="C74" s="7">
        <v>2016</v>
      </c>
      <c r="D74" s="7" t="s">
        <v>3</v>
      </c>
      <c r="E74" s="7" t="s">
        <v>66</v>
      </c>
      <c r="F74" s="7">
        <v>2534</v>
      </c>
      <c r="G74" s="7">
        <v>58</v>
      </c>
      <c r="H74" s="7">
        <v>2476</v>
      </c>
      <c r="I74" s="7">
        <v>9467.7999999999993</v>
      </c>
      <c r="J74" s="7">
        <v>24735.3</v>
      </c>
      <c r="K74" s="7">
        <v>15267.5</v>
      </c>
    </row>
    <row r="75" spans="3:11" x14ac:dyDescent="0.35">
      <c r="C75" s="7">
        <v>2016</v>
      </c>
      <c r="D75" s="7" t="s">
        <v>3</v>
      </c>
      <c r="E75" s="7" t="s">
        <v>65</v>
      </c>
      <c r="F75" s="7">
        <v>3247</v>
      </c>
      <c r="G75" s="7">
        <v>63</v>
      </c>
      <c r="H75" s="7">
        <v>3184</v>
      </c>
      <c r="I75" s="7">
        <v>6059.9</v>
      </c>
      <c r="J75" s="7">
        <v>15888.1</v>
      </c>
      <c r="K75" s="7">
        <v>9828.2000000000007</v>
      </c>
    </row>
    <row r="76" spans="3:11" x14ac:dyDescent="0.35">
      <c r="C76" s="7">
        <v>2016</v>
      </c>
      <c r="D76" s="7" t="s">
        <v>3</v>
      </c>
      <c r="E76" s="7" t="s">
        <v>67</v>
      </c>
      <c r="F76" s="7">
        <v>5517</v>
      </c>
      <c r="G76" s="7">
        <v>53</v>
      </c>
      <c r="H76" s="7">
        <v>5464</v>
      </c>
      <c r="I76" s="7">
        <v>4725.3</v>
      </c>
      <c r="J76" s="7">
        <v>12512.5</v>
      </c>
      <c r="K76" s="7">
        <v>7787.2</v>
      </c>
    </row>
    <row r="77" spans="3:11" x14ac:dyDescent="0.35">
      <c r="C77" s="7">
        <v>2016</v>
      </c>
      <c r="D77" s="7" t="s">
        <v>3</v>
      </c>
      <c r="E77" s="7" t="s">
        <v>74</v>
      </c>
      <c r="F77" s="7">
        <v>2595</v>
      </c>
      <c r="G77" s="7">
        <v>34</v>
      </c>
      <c r="H77" s="7">
        <v>2561</v>
      </c>
      <c r="I77" s="7">
        <v>8725.2000000000007</v>
      </c>
      <c r="J77" s="7">
        <v>23023.3</v>
      </c>
      <c r="K77" s="7">
        <v>14298.1</v>
      </c>
    </row>
    <row r="78" spans="3:11" x14ac:dyDescent="0.35">
      <c r="C78" s="7">
        <v>2016</v>
      </c>
      <c r="D78" s="7" t="s">
        <v>3</v>
      </c>
      <c r="E78" s="7" t="s">
        <v>68</v>
      </c>
      <c r="F78" s="7">
        <v>2601</v>
      </c>
      <c r="G78" s="7">
        <v>47</v>
      </c>
      <c r="H78" s="7">
        <v>2554</v>
      </c>
      <c r="I78" s="7">
        <v>3881.5</v>
      </c>
      <c r="J78" s="7">
        <v>10190.5</v>
      </c>
      <c r="K78" s="7">
        <v>6309</v>
      </c>
    </row>
    <row r="79" spans="3:11" x14ac:dyDescent="0.35">
      <c r="C79" s="7">
        <v>2016</v>
      </c>
      <c r="D79" s="7" t="s">
        <v>3</v>
      </c>
      <c r="E79" s="7" t="s">
        <v>69</v>
      </c>
      <c r="F79" s="7">
        <v>10802</v>
      </c>
      <c r="G79" s="7">
        <v>126</v>
      </c>
      <c r="H79" s="7">
        <v>10676</v>
      </c>
      <c r="I79" s="7">
        <v>133839.70000000001</v>
      </c>
      <c r="J79" s="7">
        <v>364104.4</v>
      </c>
      <c r="K79" s="7">
        <v>230264.7</v>
      </c>
    </row>
    <row r="80" spans="3:11" x14ac:dyDescent="0.35">
      <c r="C80" s="7">
        <v>2016</v>
      </c>
      <c r="D80" s="7" t="s">
        <v>3</v>
      </c>
      <c r="E80" s="7" t="s">
        <v>98</v>
      </c>
      <c r="F80" s="7">
        <v>806</v>
      </c>
      <c r="G80" s="7">
        <v>12</v>
      </c>
      <c r="H80" s="7">
        <v>794</v>
      </c>
      <c r="I80" s="7">
        <v>8738.9</v>
      </c>
      <c r="J80" s="7">
        <v>23018</v>
      </c>
      <c r="K80" s="7">
        <v>14279.1</v>
      </c>
    </row>
    <row r="81" spans="3:11" x14ac:dyDescent="0.35">
      <c r="C81" s="7">
        <v>2016</v>
      </c>
      <c r="D81" s="7" t="s">
        <v>3</v>
      </c>
      <c r="E81" s="7" t="s">
        <v>81</v>
      </c>
      <c r="F81" s="7">
        <v>1421</v>
      </c>
      <c r="G81" s="7">
        <v>28</v>
      </c>
      <c r="H81" s="7">
        <v>1393</v>
      </c>
      <c r="I81" s="7">
        <v>2652</v>
      </c>
      <c r="J81" s="7">
        <v>6951.1</v>
      </c>
      <c r="K81" s="7">
        <v>4299.1000000000004</v>
      </c>
    </row>
    <row r="82" spans="3:11" x14ac:dyDescent="0.35">
      <c r="C82" s="7">
        <v>2016</v>
      </c>
      <c r="D82" s="7" t="s">
        <v>3</v>
      </c>
      <c r="E82" s="7" t="s">
        <v>64</v>
      </c>
      <c r="F82" s="7">
        <v>5840</v>
      </c>
      <c r="G82" s="7">
        <v>102</v>
      </c>
      <c r="H82" s="7">
        <v>5738</v>
      </c>
      <c r="I82" s="7">
        <v>10899.2</v>
      </c>
      <c r="J82" s="7">
        <v>28632.6</v>
      </c>
      <c r="K82" s="7">
        <v>17733.400000000001</v>
      </c>
    </row>
    <row r="83" spans="3:11" x14ac:dyDescent="0.35">
      <c r="C83" s="7">
        <v>2016</v>
      </c>
      <c r="D83" s="7" t="s">
        <v>2</v>
      </c>
      <c r="E83" s="7" t="s">
        <v>58</v>
      </c>
      <c r="F83" s="7">
        <v>2488</v>
      </c>
      <c r="G83" s="7">
        <v>71</v>
      </c>
      <c r="H83" s="7">
        <v>2417</v>
      </c>
      <c r="I83" s="7">
        <v>2765951.3</v>
      </c>
      <c r="J83" s="7">
        <v>4979411.4000000004</v>
      </c>
      <c r="K83" s="7">
        <v>2213460.1</v>
      </c>
    </row>
    <row r="84" spans="3:11" x14ac:dyDescent="0.35">
      <c r="C84" s="7">
        <v>2016</v>
      </c>
      <c r="D84" s="7" t="s">
        <v>2</v>
      </c>
      <c r="E84" s="7" t="s">
        <v>100</v>
      </c>
      <c r="F84" s="7">
        <v>309</v>
      </c>
      <c r="G84" s="7">
        <v>9</v>
      </c>
      <c r="H84" s="7">
        <v>300</v>
      </c>
      <c r="I84" s="7">
        <v>129711.5</v>
      </c>
      <c r="J84" s="7">
        <v>230847</v>
      </c>
      <c r="K84" s="7">
        <v>101135.5</v>
      </c>
    </row>
    <row r="85" spans="3:11" x14ac:dyDescent="0.35">
      <c r="C85" s="7">
        <v>2016</v>
      </c>
      <c r="D85" s="7" t="s">
        <v>2</v>
      </c>
      <c r="E85" s="7" t="s">
        <v>106</v>
      </c>
      <c r="F85" s="7">
        <v>288</v>
      </c>
      <c r="G85" s="7">
        <v>9</v>
      </c>
      <c r="H85" s="7">
        <v>279</v>
      </c>
      <c r="I85" s="7">
        <v>86748.3</v>
      </c>
      <c r="J85" s="7">
        <v>154082.20000000001</v>
      </c>
      <c r="K85" s="7">
        <v>67333.899999999994</v>
      </c>
    </row>
    <row r="86" spans="3:11" x14ac:dyDescent="0.35">
      <c r="C86" s="7">
        <v>2016</v>
      </c>
      <c r="D86" s="7" t="s">
        <v>2</v>
      </c>
      <c r="E86" s="7" t="s">
        <v>55</v>
      </c>
      <c r="F86" s="7">
        <v>1342</v>
      </c>
      <c r="G86" s="7">
        <v>45</v>
      </c>
      <c r="H86" s="7">
        <v>1297</v>
      </c>
      <c r="I86" s="7">
        <v>1826043.5</v>
      </c>
      <c r="J86" s="7">
        <v>2897551.3</v>
      </c>
      <c r="K86" s="7">
        <v>1071507.8</v>
      </c>
    </row>
    <row r="87" spans="3:11" x14ac:dyDescent="0.35">
      <c r="C87" s="7">
        <v>2016</v>
      </c>
      <c r="D87" s="7" t="s">
        <v>2</v>
      </c>
      <c r="E87" s="7" t="s">
        <v>99</v>
      </c>
      <c r="F87" s="7">
        <v>474</v>
      </c>
      <c r="G87" s="7">
        <v>12</v>
      </c>
      <c r="H87" s="7">
        <v>462</v>
      </c>
      <c r="I87" s="7">
        <v>513109.7</v>
      </c>
      <c r="J87" s="7">
        <v>785857.4</v>
      </c>
      <c r="K87" s="7">
        <v>272747.7</v>
      </c>
    </row>
    <row r="88" spans="3:11" x14ac:dyDescent="0.35">
      <c r="C88" s="7">
        <v>2016</v>
      </c>
      <c r="D88" s="7" t="s">
        <v>2</v>
      </c>
      <c r="E88" s="7" t="s">
        <v>62</v>
      </c>
      <c r="F88" s="7">
        <v>907</v>
      </c>
      <c r="G88" s="7">
        <v>35</v>
      </c>
      <c r="H88" s="7">
        <v>872</v>
      </c>
      <c r="I88" s="7">
        <v>549323.80000000005</v>
      </c>
      <c r="J88" s="7">
        <v>872381.5</v>
      </c>
      <c r="K88" s="7">
        <v>323057.7</v>
      </c>
    </row>
    <row r="89" spans="3:11" x14ac:dyDescent="0.35">
      <c r="C89" s="7">
        <v>2016</v>
      </c>
      <c r="D89" s="7" t="s">
        <v>2</v>
      </c>
      <c r="E89" s="7" t="s">
        <v>57</v>
      </c>
      <c r="F89" s="7">
        <v>516</v>
      </c>
      <c r="G89" s="7">
        <v>19</v>
      </c>
      <c r="H89" s="7">
        <v>497</v>
      </c>
      <c r="I89" s="7">
        <v>213183.5</v>
      </c>
      <c r="J89" s="7">
        <v>347451.8</v>
      </c>
      <c r="K89" s="7">
        <v>134268.29999999999</v>
      </c>
    </row>
    <row r="90" spans="3:11" x14ac:dyDescent="0.35">
      <c r="C90" s="7">
        <v>2016</v>
      </c>
      <c r="D90" s="7" t="s">
        <v>2</v>
      </c>
      <c r="E90" s="7" t="s">
        <v>78</v>
      </c>
      <c r="F90" s="7">
        <v>937</v>
      </c>
      <c r="G90" s="7">
        <v>30</v>
      </c>
      <c r="H90" s="7">
        <v>907</v>
      </c>
      <c r="I90" s="7">
        <v>321999.7</v>
      </c>
      <c r="J90" s="7">
        <v>489770.9</v>
      </c>
      <c r="K90" s="7">
        <v>167771.20000000001</v>
      </c>
    </row>
    <row r="91" spans="3:11" x14ac:dyDescent="0.35">
      <c r="C91" s="7">
        <v>2016</v>
      </c>
      <c r="D91" s="7" t="s">
        <v>2</v>
      </c>
      <c r="E91" s="7" t="s">
        <v>101</v>
      </c>
      <c r="F91" s="7">
        <v>683</v>
      </c>
      <c r="G91" s="7">
        <v>16</v>
      </c>
      <c r="H91" s="7">
        <v>667</v>
      </c>
      <c r="I91" s="7">
        <v>1012163.6</v>
      </c>
      <c r="J91" s="7">
        <v>1590174.7</v>
      </c>
      <c r="K91" s="7">
        <v>578011.1</v>
      </c>
    </row>
    <row r="92" spans="3:11" x14ac:dyDescent="0.35">
      <c r="C92" s="7">
        <v>2016</v>
      </c>
      <c r="D92" s="7" t="s">
        <v>2</v>
      </c>
      <c r="E92" s="7" t="s">
        <v>105</v>
      </c>
      <c r="F92" s="7">
        <v>259</v>
      </c>
      <c r="G92" s="7">
        <v>6</v>
      </c>
      <c r="H92" s="7">
        <v>253</v>
      </c>
      <c r="I92" s="7">
        <v>195584.1</v>
      </c>
      <c r="J92" s="7">
        <v>307357</v>
      </c>
      <c r="K92" s="7">
        <v>111772.9</v>
      </c>
    </row>
    <row r="93" spans="3:11" x14ac:dyDescent="0.35">
      <c r="C93" s="7">
        <v>2016</v>
      </c>
      <c r="D93" s="7" t="s">
        <v>2</v>
      </c>
      <c r="E93" s="7" t="s">
        <v>109</v>
      </c>
      <c r="F93" s="7">
        <v>338</v>
      </c>
      <c r="G93" s="7">
        <v>7</v>
      </c>
      <c r="H93" s="7">
        <v>331</v>
      </c>
      <c r="I93" s="7">
        <v>155968.29999999999</v>
      </c>
      <c r="J93" s="7">
        <v>245717.9</v>
      </c>
      <c r="K93" s="7">
        <v>89749.6</v>
      </c>
    </row>
    <row r="94" spans="3:11" x14ac:dyDescent="0.35">
      <c r="C94" s="7">
        <v>2016</v>
      </c>
      <c r="D94" s="7" t="s">
        <v>21</v>
      </c>
      <c r="E94" s="7" t="s">
        <v>107</v>
      </c>
      <c r="F94" s="7">
        <v>856</v>
      </c>
      <c r="G94" s="7">
        <v>5</v>
      </c>
      <c r="H94" s="7">
        <v>851</v>
      </c>
      <c r="I94" s="7">
        <v>20329.099999999999</v>
      </c>
      <c r="J94" s="7">
        <v>54038.5</v>
      </c>
      <c r="K94" s="7">
        <v>33709.4</v>
      </c>
    </row>
    <row r="95" spans="3:11" x14ac:dyDescent="0.35">
      <c r="C95" s="7">
        <v>2016</v>
      </c>
      <c r="D95" s="7" t="s">
        <v>21</v>
      </c>
      <c r="E95" s="7" t="s">
        <v>75</v>
      </c>
      <c r="F95" s="7">
        <v>3392</v>
      </c>
      <c r="G95" s="7">
        <v>30</v>
      </c>
      <c r="H95" s="7">
        <v>3362</v>
      </c>
      <c r="I95" s="7">
        <v>19352</v>
      </c>
      <c r="J95" s="7">
        <v>29061.8</v>
      </c>
      <c r="K95" s="7">
        <v>9709.7999999999993</v>
      </c>
    </row>
    <row r="96" spans="3:11" x14ac:dyDescent="0.35">
      <c r="C96" s="7">
        <v>2016</v>
      </c>
      <c r="D96" s="7" t="s">
        <v>21</v>
      </c>
      <c r="E96" s="7" t="s">
        <v>76</v>
      </c>
      <c r="F96" s="7">
        <v>2476</v>
      </c>
      <c r="G96" s="7">
        <v>30</v>
      </c>
      <c r="H96" s="7">
        <v>2446</v>
      </c>
      <c r="I96" s="7">
        <v>24050.9</v>
      </c>
      <c r="J96" s="7">
        <v>57598.7</v>
      </c>
      <c r="K96" s="7">
        <v>33547.800000000003</v>
      </c>
    </row>
    <row r="97" spans="3:11" x14ac:dyDescent="0.35">
      <c r="C97" s="7">
        <v>2016</v>
      </c>
      <c r="D97" s="7" t="s">
        <v>21</v>
      </c>
      <c r="E97" s="7" t="s">
        <v>71</v>
      </c>
      <c r="F97" s="7">
        <v>2737</v>
      </c>
      <c r="G97" s="7">
        <v>34</v>
      </c>
      <c r="H97" s="7">
        <v>2703</v>
      </c>
      <c r="I97" s="7">
        <v>86829.7</v>
      </c>
      <c r="J97" s="7">
        <v>129925.9</v>
      </c>
      <c r="K97" s="7">
        <v>43096.2</v>
      </c>
    </row>
    <row r="98" spans="3:11" x14ac:dyDescent="0.35">
      <c r="C98" s="7">
        <v>2016</v>
      </c>
      <c r="D98" s="7" t="s">
        <v>21</v>
      </c>
      <c r="E98" s="7" t="s">
        <v>95</v>
      </c>
      <c r="F98" s="7">
        <v>1026</v>
      </c>
      <c r="G98" s="7">
        <v>13</v>
      </c>
      <c r="H98" s="7">
        <v>1013</v>
      </c>
      <c r="I98" s="7">
        <v>3449.7</v>
      </c>
      <c r="J98" s="7">
        <v>9106.7999999999993</v>
      </c>
      <c r="K98" s="7">
        <v>5657.1</v>
      </c>
    </row>
    <row r="99" spans="3:11" x14ac:dyDescent="0.35">
      <c r="C99" s="7">
        <v>2016</v>
      </c>
      <c r="D99" s="7" t="s">
        <v>21</v>
      </c>
      <c r="E99" s="7" t="s">
        <v>86</v>
      </c>
      <c r="F99" s="7">
        <v>2658</v>
      </c>
      <c r="G99" s="7">
        <v>23</v>
      </c>
      <c r="H99" s="7">
        <v>2635</v>
      </c>
      <c r="I99" s="7">
        <v>110499.2</v>
      </c>
      <c r="J99" s="7">
        <v>142263.6</v>
      </c>
      <c r="K99" s="7">
        <v>31764.400000000001</v>
      </c>
    </row>
    <row r="100" spans="3:11" x14ac:dyDescent="0.35">
      <c r="C100" s="7">
        <v>2016</v>
      </c>
      <c r="D100" s="7" t="s">
        <v>21</v>
      </c>
      <c r="E100" s="7" t="s">
        <v>87</v>
      </c>
      <c r="F100" s="7">
        <v>819</v>
      </c>
      <c r="G100" s="7">
        <v>22</v>
      </c>
      <c r="H100" s="7">
        <v>797</v>
      </c>
      <c r="I100" s="7">
        <v>21438.400000000001</v>
      </c>
      <c r="J100" s="7">
        <v>55782</v>
      </c>
      <c r="K100" s="7">
        <v>34343.599999999999</v>
      </c>
    </row>
    <row r="101" spans="3:11" x14ac:dyDescent="0.35">
      <c r="C101" s="7">
        <v>2017</v>
      </c>
      <c r="D101" s="7" t="s">
        <v>3</v>
      </c>
      <c r="E101" s="7" t="s">
        <v>103</v>
      </c>
      <c r="F101" s="7">
        <v>527</v>
      </c>
      <c r="G101" s="7">
        <v>4</v>
      </c>
      <c r="H101" s="7">
        <v>523</v>
      </c>
      <c r="I101" s="7">
        <v>31338.6</v>
      </c>
      <c r="J101" s="7">
        <v>83157</v>
      </c>
      <c r="K101" s="7">
        <v>51818.400000000001</v>
      </c>
    </row>
    <row r="102" spans="3:11" x14ac:dyDescent="0.35">
      <c r="C102" s="7">
        <v>2017</v>
      </c>
      <c r="D102" s="7" t="s">
        <v>3</v>
      </c>
      <c r="E102" s="7" t="s">
        <v>89</v>
      </c>
      <c r="F102" s="7">
        <v>2154</v>
      </c>
      <c r="G102" s="7">
        <v>21</v>
      </c>
      <c r="H102" s="7">
        <v>2133</v>
      </c>
      <c r="I102" s="7">
        <v>6404.5</v>
      </c>
      <c r="J102" s="7">
        <v>16957.3</v>
      </c>
      <c r="K102" s="7">
        <v>10552.8</v>
      </c>
    </row>
    <row r="103" spans="3:11" x14ac:dyDescent="0.35">
      <c r="C103" s="7">
        <v>2017</v>
      </c>
      <c r="D103" s="7" t="s">
        <v>3</v>
      </c>
      <c r="E103" s="7" t="s">
        <v>84</v>
      </c>
      <c r="F103" s="7">
        <v>3215</v>
      </c>
      <c r="G103" s="7">
        <v>52</v>
      </c>
      <c r="H103" s="7">
        <v>3163</v>
      </c>
      <c r="I103" s="7">
        <v>26428.9</v>
      </c>
      <c r="J103" s="7">
        <v>69522.7</v>
      </c>
      <c r="K103" s="7">
        <v>43093.8</v>
      </c>
    </row>
    <row r="104" spans="3:11" x14ac:dyDescent="0.35">
      <c r="C104" s="7">
        <v>2017</v>
      </c>
      <c r="D104" s="7" t="s">
        <v>3</v>
      </c>
      <c r="E104" s="7" t="s">
        <v>110</v>
      </c>
      <c r="F104" s="7">
        <v>690</v>
      </c>
      <c r="G104" s="7">
        <v>7</v>
      </c>
      <c r="H104" s="7">
        <v>683</v>
      </c>
      <c r="I104" s="7">
        <v>30967.200000000001</v>
      </c>
      <c r="J104" s="7">
        <v>81960</v>
      </c>
      <c r="K104" s="7">
        <v>50992.800000000003</v>
      </c>
    </row>
    <row r="105" spans="3:11" x14ac:dyDescent="0.35">
      <c r="C105" s="7">
        <v>2017</v>
      </c>
      <c r="D105" s="7" t="s">
        <v>3</v>
      </c>
      <c r="E105" s="7" t="s">
        <v>80</v>
      </c>
      <c r="F105" s="7">
        <v>2075</v>
      </c>
      <c r="G105" s="7">
        <v>44</v>
      </c>
      <c r="H105" s="7">
        <v>2031</v>
      </c>
      <c r="I105" s="7">
        <v>27161.8</v>
      </c>
      <c r="J105" s="7">
        <v>71085</v>
      </c>
      <c r="K105" s="7">
        <v>43923.199999999997</v>
      </c>
    </row>
    <row r="106" spans="3:11" x14ac:dyDescent="0.35">
      <c r="C106" s="7">
        <v>2017</v>
      </c>
      <c r="D106" s="7" t="s">
        <v>3</v>
      </c>
      <c r="E106" s="7" t="s">
        <v>79</v>
      </c>
      <c r="F106" s="7">
        <v>1050</v>
      </c>
      <c r="G106" s="7">
        <v>19</v>
      </c>
      <c r="H106" s="7">
        <v>1031</v>
      </c>
      <c r="I106" s="7">
        <v>12802</v>
      </c>
      <c r="J106" s="7">
        <v>33610.6</v>
      </c>
      <c r="K106" s="7">
        <v>20808.599999999999</v>
      </c>
    </row>
    <row r="107" spans="3:11" x14ac:dyDescent="0.35">
      <c r="C107" s="7">
        <v>2017</v>
      </c>
      <c r="D107" s="7" t="s">
        <v>3</v>
      </c>
      <c r="E107" s="7" t="s">
        <v>93</v>
      </c>
      <c r="F107" s="7">
        <v>1732</v>
      </c>
      <c r="G107" s="7">
        <v>24</v>
      </c>
      <c r="H107" s="7">
        <v>1708</v>
      </c>
      <c r="I107" s="7">
        <v>35620.800000000003</v>
      </c>
      <c r="J107" s="7">
        <v>93922.9</v>
      </c>
      <c r="K107" s="7">
        <v>58302.1</v>
      </c>
    </row>
    <row r="108" spans="3:11" x14ac:dyDescent="0.35">
      <c r="C108" s="7">
        <v>2017</v>
      </c>
      <c r="D108" s="7" t="s">
        <v>3</v>
      </c>
      <c r="E108" s="7" t="s">
        <v>82</v>
      </c>
      <c r="F108" s="7">
        <v>949</v>
      </c>
      <c r="G108" s="7">
        <v>31</v>
      </c>
      <c r="H108" s="7">
        <v>918</v>
      </c>
      <c r="I108" s="7">
        <v>8869.6</v>
      </c>
      <c r="J108" s="7">
        <v>22940.799999999999</v>
      </c>
      <c r="K108" s="7">
        <v>14071.2</v>
      </c>
    </row>
    <row r="109" spans="3:11" x14ac:dyDescent="0.35">
      <c r="C109" s="7">
        <v>2017</v>
      </c>
      <c r="D109" s="7" t="s">
        <v>3</v>
      </c>
      <c r="E109" s="7" t="s">
        <v>83</v>
      </c>
      <c r="F109" s="7">
        <v>1356</v>
      </c>
      <c r="G109" s="7">
        <v>40</v>
      </c>
      <c r="H109" s="7">
        <v>1316</v>
      </c>
      <c r="I109" s="7">
        <v>10898.6</v>
      </c>
      <c r="J109" s="7">
        <v>28280.799999999999</v>
      </c>
      <c r="K109" s="7">
        <v>17382.2</v>
      </c>
    </row>
    <row r="110" spans="3:11" x14ac:dyDescent="0.35">
      <c r="C110" s="7">
        <v>2017</v>
      </c>
      <c r="D110" s="7" t="s">
        <v>3</v>
      </c>
      <c r="E110" s="7" t="s">
        <v>91</v>
      </c>
      <c r="F110" s="7">
        <v>1290</v>
      </c>
      <c r="G110" s="7">
        <v>27</v>
      </c>
      <c r="H110" s="7">
        <v>1263</v>
      </c>
      <c r="I110" s="7">
        <v>14469</v>
      </c>
      <c r="J110" s="7">
        <v>37877.4</v>
      </c>
      <c r="K110" s="7">
        <v>23408.400000000001</v>
      </c>
    </row>
    <row r="111" spans="3:11" x14ac:dyDescent="0.35">
      <c r="C111" s="7">
        <v>2017</v>
      </c>
      <c r="D111" s="7" t="s">
        <v>3</v>
      </c>
      <c r="E111" s="7" t="s">
        <v>92</v>
      </c>
      <c r="F111" s="7">
        <v>1331</v>
      </c>
      <c r="G111" s="7">
        <v>22</v>
      </c>
      <c r="H111" s="7">
        <v>1309</v>
      </c>
      <c r="I111" s="7">
        <v>12439.9</v>
      </c>
      <c r="J111" s="7">
        <v>32711.9</v>
      </c>
      <c r="K111" s="7">
        <v>20272</v>
      </c>
    </row>
    <row r="112" spans="3:11" x14ac:dyDescent="0.35">
      <c r="C112" s="7">
        <v>2017</v>
      </c>
      <c r="D112" s="7" t="s">
        <v>3</v>
      </c>
      <c r="E112" s="7" t="s">
        <v>66</v>
      </c>
      <c r="F112" s="7">
        <v>3561</v>
      </c>
      <c r="G112" s="7">
        <v>53</v>
      </c>
      <c r="H112" s="7">
        <v>3508</v>
      </c>
      <c r="I112" s="7">
        <v>13305</v>
      </c>
      <c r="J112" s="7">
        <v>35044.9</v>
      </c>
      <c r="K112" s="7">
        <v>21739.9</v>
      </c>
    </row>
    <row r="113" spans="3:11" x14ac:dyDescent="0.35">
      <c r="C113" s="7">
        <v>2017</v>
      </c>
      <c r="D113" s="7" t="s">
        <v>3</v>
      </c>
      <c r="E113" s="7" t="s">
        <v>65</v>
      </c>
      <c r="F113" s="7">
        <v>3969</v>
      </c>
      <c r="G113" s="7">
        <v>75</v>
      </c>
      <c r="H113" s="7">
        <v>3894</v>
      </c>
      <c r="I113" s="7">
        <v>7407.3</v>
      </c>
      <c r="J113" s="7">
        <v>19431</v>
      </c>
      <c r="K113" s="7">
        <v>12023.7</v>
      </c>
    </row>
    <row r="114" spans="3:11" x14ac:dyDescent="0.35">
      <c r="C114" s="7">
        <v>2017</v>
      </c>
      <c r="D114" s="7" t="s">
        <v>3</v>
      </c>
      <c r="E114" s="7" t="s">
        <v>67</v>
      </c>
      <c r="F114" s="7">
        <v>6607</v>
      </c>
      <c r="G114" s="7">
        <v>90</v>
      </c>
      <c r="H114" s="7">
        <v>6517</v>
      </c>
      <c r="I114" s="7">
        <v>5658.9</v>
      </c>
      <c r="J114" s="7">
        <v>14923.9</v>
      </c>
      <c r="K114" s="7">
        <v>9265</v>
      </c>
    </row>
    <row r="115" spans="3:11" x14ac:dyDescent="0.35">
      <c r="C115" s="7">
        <v>2017</v>
      </c>
      <c r="D115" s="7" t="s">
        <v>3</v>
      </c>
      <c r="E115" s="7" t="s">
        <v>74</v>
      </c>
      <c r="F115" s="7">
        <v>3707</v>
      </c>
      <c r="G115" s="7">
        <v>52</v>
      </c>
      <c r="H115" s="7">
        <v>3655</v>
      </c>
      <c r="I115" s="7">
        <v>12464</v>
      </c>
      <c r="J115" s="7">
        <v>32858.400000000001</v>
      </c>
      <c r="K115" s="7">
        <v>20394.400000000001</v>
      </c>
    </row>
    <row r="116" spans="3:11" x14ac:dyDescent="0.35">
      <c r="C116" s="7">
        <v>2017</v>
      </c>
      <c r="D116" s="7" t="s">
        <v>3</v>
      </c>
      <c r="E116" s="7" t="s">
        <v>68</v>
      </c>
      <c r="F116" s="7">
        <v>3178</v>
      </c>
      <c r="G116" s="7">
        <v>53</v>
      </c>
      <c r="H116" s="7">
        <v>3125</v>
      </c>
      <c r="I116" s="7">
        <v>4742.5</v>
      </c>
      <c r="J116" s="7">
        <v>12468.7</v>
      </c>
      <c r="K116" s="7">
        <v>7726.2</v>
      </c>
    </row>
    <row r="117" spans="3:11" x14ac:dyDescent="0.35">
      <c r="C117" s="7">
        <v>2017</v>
      </c>
      <c r="D117" s="7" t="s">
        <v>3</v>
      </c>
      <c r="E117" s="7" t="s">
        <v>69</v>
      </c>
      <c r="F117" s="7">
        <v>14173</v>
      </c>
      <c r="G117" s="7">
        <v>160</v>
      </c>
      <c r="H117" s="7">
        <v>14013</v>
      </c>
      <c r="I117" s="7">
        <v>175777.3</v>
      </c>
      <c r="J117" s="7">
        <v>478117.9</v>
      </c>
      <c r="K117" s="7">
        <v>302340.59999999998</v>
      </c>
    </row>
    <row r="118" spans="3:11" x14ac:dyDescent="0.35">
      <c r="C118" s="7">
        <v>2017</v>
      </c>
      <c r="D118" s="7" t="s">
        <v>3</v>
      </c>
      <c r="E118" s="7" t="s">
        <v>98</v>
      </c>
      <c r="F118" s="7">
        <v>1323</v>
      </c>
      <c r="G118" s="7">
        <v>16</v>
      </c>
      <c r="H118" s="7">
        <v>1307</v>
      </c>
      <c r="I118" s="7">
        <v>14344.4</v>
      </c>
      <c r="J118" s="7">
        <v>37890</v>
      </c>
      <c r="K118" s="7">
        <v>23545.599999999999</v>
      </c>
    </row>
    <row r="119" spans="3:11" x14ac:dyDescent="0.35">
      <c r="C119" s="7">
        <v>2017</v>
      </c>
      <c r="D119" s="7" t="s">
        <v>3</v>
      </c>
      <c r="E119" s="7" t="s">
        <v>81</v>
      </c>
      <c r="F119" s="7">
        <v>2054</v>
      </c>
      <c r="G119" s="7">
        <v>38</v>
      </c>
      <c r="H119" s="7">
        <v>2016</v>
      </c>
      <c r="I119" s="7">
        <v>3833.4</v>
      </c>
      <c r="J119" s="7">
        <v>10059.9</v>
      </c>
      <c r="K119" s="7">
        <v>6226.5</v>
      </c>
    </row>
    <row r="120" spans="3:11" x14ac:dyDescent="0.35">
      <c r="C120" s="7">
        <v>2017</v>
      </c>
      <c r="D120" s="7" t="s">
        <v>3</v>
      </c>
      <c r="E120" s="7" t="s">
        <v>64</v>
      </c>
      <c r="F120" s="7">
        <v>7879</v>
      </c>
      <c r="G120" s="7">
        <v>123</v>
      </c>
      <c r="H120" s="7">
        <v>7756</v>
      </c>
      <c r="I120" s="7">
        <v>14704.6</v>
      </c>
      <c r="J120" s="7">
        <v>38702.400000000001</v>
      </c>
      <c r="K120" s="7">
        <v>23997.8</v>
      </c>
    </row>
    <row r="121" spans="3:11" x14ac:dyDescent="0.35">
      <c r="C121" s="7">
        <v>2017</v>
      </c>
      <c r="D121" s="7" t="s">
        <v>2</v>
      </c>
      <c r="E121" s="7" t="s">
        <v>58</v>
      </c>
      <c r="F121" s="7">
        <v>2167</v>
      </c>
      <c r="G121" s="7">
        <v>57</v>
      </c>
      <c r="H121" s="7">
        <v>2110</v>
      </c>
      <c r="I121" s="7">
        <v>2409396.2000000002</v>
      </c>
      <c r="J121" s="7">
        <v>4347302.5</v>
      </c>
      <c r="K121" s="7">
        <v>1937906.3</v>
      </c>
    </row>
    <row r="122" spans="3:11" x14ac:dyDescent="0.35">
      <c r="C122" s="7">
        <v>2017</v>
      </c>
      <c r="D122" s="7" t="s">
        <v>2</v>
      </c>
      <c r="E122" s="7" t="s">
        <v>100</v>
      </c>
      <c r="F122" s="7">
        <v>488</v>
      </c>
      <c r="G122" s="7">
        <v>11</v>
      </c>
      <c r="H122" s="7">
        <v>477</v>
      </c>
      <c r="I122" s="7">
        <v>204851.9</v>
      </c>
      <c r="J122" s="7">
        <v>367046.7</v>
      </c>
      <c r="K122" s="7">
        <v>162194.79999999999</v>
      </c>
    </row>
    <row r="123" spans="3:11" x14ac:dyDescent="0.35">
      <c r="C123" s="7">
        <v>2017</v>
      </c>
      <c r="D123" s="7" t="s">
        <v>2</v>
      </c>
      <c r="E123" s="7" t="s">
        <v>106</v>
      </c>
      <c r="F123" s="7">
        <v>432</v>
      </c>
      <c r="G123" s="7">
        <v>13</v>
      </c>
      <c r="H123" s="7">
        <v>419</v>
      </c>
      <c r="I123" s="7">
        <v>129986.1</v>
      </c>
      <c r="J123" s="7">
        <v>231130.8</v>
      </c>
      <c r="K123" s="7">
        <v>101144.7</v>
      </c>
    </row>
    <row r="124" spans="3:11" x14ac:dyDescent="0.35">
      <c r="C124" s="7">
        <v>2017</v>
      </c>
      <c r="D124" s="7" t="s">
        <v>2</v>
      </c>
      <c r="E124" s="7" t="s">
        <v>55</v>
      </c>
      <c r="F124" s="7">
        <v>450</v>
      </c>
      <c r="G124" s="7">
        <v>15</v>
      </c>
      <c r="H124" s="7">
        <v>435</v>
      </c>
      <c r="I124" s="7">
        <v>594307.69999999995</v>
      </c>
      <c r="J124" s="7">
        <v>948979.7</v>
      </c>
      <c r="K124" s="7">
        <v>354672</v>
      </c>
    </row>
    <row r="125" spans="3:11" x14ac:dyDescent="0.35">
      <c r="C125" s="7">
        <v>2017</v>
      </c>
      <c r="D125" s="7" t="s">
        <v>2</v>
      </c>
      <c r="E125" s="7" t="s">
        <v>99</v>
      </c>
      <c r="F125" s="7">
        <v>910</v>
      </c>
      <c r="G125" s="7">
        <v>28</v>
      </c>
      <c r="H125" s="7">
        <v>882</v>
      </c>
      <c r="I125" s="7">
        <v>985084.1</v>
      </c>
      <c r="J125" s="7">
        <v>1500273.2</v>
      </c>
      <c r="K125" s="7">
        <v>515189.1</v>
      </c>
    </row>
    <row r="126" spans="3:11" x14ac:dyDescent="0.35">
      <c r="C126" s="7">
        <v>2017</v>
      </c>
      <c r="D126" s="7" t="s">
        <v>2</v>
      </c>
      <c r="E126" s="7" t="s">
        <v>62</v>
      </c>
      <c r="F126" s="7">
        <v>912</v>
      </c>
      <c r="G126" s="7">
        <v>18</v>
      </c>
      <c r="H126" s="7">
        <v>894</v>
      </c>
      <c r="I126" s="7">
        <v>552352.1</v>
      </c>
      <c r="J126" s="7">
        <v>894391.1</v>
      </c>
      <c r="K126" s="7">
        <v>342039</v>
      </c>
    </row>
    <row r="127" spans="3:11" x14ac:dyDescent="0.35">
      <c r="C127" s="7">
        <v>2017</v>
      </c>
      <c r="D127" s="7" t="s">
        <v>2</v>
      </c>
      <c r="E127" s="7" t="s">
        <v>78</v>
      </c>
      <c r="F127" s="7">
        <v>1269</v>
      </c>
      <c r="G127" s="7">
        <v>34</v>
      </c>
      <c r="H127" s="7">
        <v>1235</v>
      </c>
      <c r="I127" s="7">
        <v>436091.3</v>
      </c>
      <c r="J127" s="7">
        <v>666887.6</v>
      </c>
      <c r="K127" s="7">
        <v>230796.3</v>
      </c>
    </row>
    <row r="128" spans="3:11" x14ac:dyDescent="0.35">
      <c r="C128" s="7">
        <v>2017</v>
      </c>
      <c r="D128" s="7" t="s">
        <v>2</v>
      </c>
      <c r="E128" s="7" t="s">
        <v>101</v>
      </c>
      <c r="F128" s="7">
        <v>1236</v>
      </c>
      <c r="G128" s="7">
        <v>40</v>
      </c>
      <c r="H128" s="7">
        <v>1196</v>
      </c>
      <c r="I128" s="7">
        <v>1831675.2</v>
      </c>
      <c r="J128" s="7">
        <v>2851347.7</v>
      </c>
      <c r="K128" s="7">
        <v>1019672.5</v>
      </c>
    </row>
    <row r="129" spans="3:12" x14ac:dyDescent="0.35">
      <c r="C129" s="7">
        <v>2017</v>
      </c>
      <c r="D129" s="7" t="s">
        <v>2</v>
      </c>
      <c r="E129" s="7" t="s">
        <v>105</v>
      </c>
      <c r="F129" s="7">
        <v>308</v>
      </c>
      <c r="G129" s="7">
        <v>18</v>
      </c>
      <c r="H129" s="7">
        <v>290</v>
      </c>
      <c r="I129" s="7">
        <v>232586.4</v>
      </c>
      <c r="J129" s="7">
        <v>352306.5</v>
      </c>
      <c r="K129" s="7">
        <v>119720.1</v>
      </c>
    </row>
    <row r="130" spans="3:12" x14ac:dyDescent="0.35">
      <c r="C130" s="7">
        <v>2017</v>
      </c>
      <c r="D130" s="7" t="s">
        <v>2</v>
      </c>
      <c r="E130" s="7" t="s">
        <v>109</v>
      </c>
      <c r="F130" s="7">
        <v>480</v>
      </c>
      <c r="G130" s="7">
        <v>17</v>
      </c>
      <c r="H130" s="7">
        <v>463</v>
      </c>
      <c r="I130" s="7">
        <v>221493.5</v>
      </c>
      <c r="J130" s="7">
        <v>343708</v>
      </c>
      <c r="K130" s="7">
        <v>122214.5</v>
      </c>
    </row>
    <row r="131" spans="3:12" x14ac:dyDescent="0.35">
      <c r="C131" s="7">
        <v>2017</v>
      </c>
      <c r="D131" s="7" t="s">
        <v>21</v>
      </c>
      <c r="E131" s="7" t="s">
        <v>107</v>
      </c>
      <c r="F131" s="7">
        <v>1282</v>
      </c>
      <c r="G131" s="7">
        <v>21</v>
      </c>
      <c r="H131" s="7">
        <v>1261</v>
      </c>
      <c r="I131" s="7">
        <v>30446.2</v>
      </c>
      <c r="J131" s="7">
        <v>80073.5</v>
      </c>
      <c r="K131" s="7">
        <v>49627.3</v>
      </c>
    </row>
    <row r="132" spans="3:12" x14ac:dyDescent="0.35">
      <c r="C132" s="7">
        <v>2017</v>
      </c>
      <c r="D132" s="7" t="s">
        <v>21</v>
      </c>
      <c r="E132" s="7" t="s">
        <v>75</v>
      </c>
      <c r="F132" s="7">
        <v>4941</v>
      </c>
      <c r="G132" s="7">
        <v>42</v>
      </c>
      <c r="H132" s="7">
        <v>4899</v>
      </c>
      <c r="I132" s="7">
        <v>28189.4</v>
      </c>
      <c r="J132" s="7">
        <v>42347.9</v>
      </c>
      <c r="K132" s="7">
        <v>14158.5</v>
      </c>
    </row>
    <row r="133" spans="3:12" x14ac:dyDescent="0.35">
      <c r="C133" s="7">
        <v>2017</v>
      </c>
      <c r="D133" s="7" t="s">
        <v>21</v>
      </c>
      <c r="E133" s="7" t="s">
        <v>76</v>
      </c>
      <c r="F133" s="7">
        <v>3484</v>
      </c>
      <c r="G133" s="7">
        <v>38</v>
      </c>
      <c r="H133" s="7">
        <v>3446</v>
      </c>
      <c r="I133" s="7">
        <v>33842.199999999997</v>
      </c>
      <c r="J133" s="7">
        <v>81146.8</v>
      </c>
      <c r="K133" s="7">
        <v>47304.6</v>
      </c>
    </row>
    <row r="134" spans="3:12" x14ac:dyDescent="0.35">
      <c r="C134" s="7">
        <v>2017</v>
      </c>
      <c r="D134" s="7" t="s">
        <v>21</v>
      </c>
      <c r="E134" s="7" t="s">
        <v>71</v>
      </c>
      <c r="F134" s="7">
        <v>3752</v>
      </c>
      <c r="G134" s="7">
        <v>45</v>
      </c>
      <c r="H134" s="7">
        <v>3707</v>
      </c>
      <c r="I134" s="7">
        <v>119029.9</v>
      </c>
      <c r="J134" s="7">
        <v>178185.5</v>
      </c>
      <c r="K134" s="7">
        <v>59155.6</v>
      </c>
    </row>
    <row r="135" spans="3:12" x14ac:dyDescent="0.35">
      <c r="C135" s="7">
        <v>2017</v>
      </c>
      <c r="D135" s="7" t="s">
        <v>21</v>
      </c>
      <c r="E135" s="7" t="s">
        <v>95</v>
      </c>
      <c r="F135" s="7">
        <v>1181</v>
      </c>
      <c r="G135" s="7">
        <v>23</v>
      </c>
      <c r="H135" s="7">
        <v>1158</v>
      </c>
      <c r="I135" s="7">
        <v>3970.9</v>
      </c>
      <c r="J135" s="7">
        <v>10410.4</v>
      </c>
      <c r="K135" s="7">
        <v>6439.5</v>
      </c>
    </row>
    <row r="136" spans="3:12" x14ac:dyDescent="0.35">
      <c r="C136" s="7">
        <v>2017</v>
      </c>
      <c r="D136" s="7" t="s">
        <v>21</v>
      </c>
      <c r="E136" s="7" t="s">
        <v>86</v>
      </c>
      <c r="F136" s="7">
        <v>3364</v>
      </c>
      <c r="G136" s="7">
        <v>38</v>
      </c>
      <c r="H136" s="7">
        <v>3326</v>
      </c>
      <c r="I136" s="7">
        <v>139849.20000000001</v>
      </c>
      <c r="J136" s="7">
        <v>179570.8</v>
      </c>
      <c r="K136" s="7">
        <v>39721.599999999999</v>
      </c>
    </row>
    <row r="137" spans="3:12" x14ac:dyDescent="0.35">
      <c r="C137" s="7">
        <v>2017</v>
      </c>
      <c r="D137" s="7" t="s">
        <v>21</v>
      </c>
      <c r="E137" s="7" t="s">
        <v>87</v>
      </c>
      <c r="F137" s="7">
        <v>1034</v>
      </c>
      <c r="G137" s="7">
        <v>37</v>
      </c>
      <c r="H137" s="7">
        <v>997</v>
      </c>
      <c r="I137" s="7">
        <v>27066.3</v>
      </c>
      <c r="J137" s="7">
        <v>69780.100000000006</v>
      </c>
      <c r="K137" s="7">
        <v>42713.8</v>
      </c>
    </row>
    <row r="138" spans="3:12" x14ac:dyDescent="0.35">
      <c r="C138" s="2"/>
      <c r="D138" s="2"/>
      <c r="E138" s="2"/>
      <c r="F138" s="2"/>
      <c r="G138" s="2"/>
      <c r="H138" s="2"/>
      <c r="I138" s="2"/>
    </row>
    <row r="139" spans="3:12" x14ac:dyDescent="0.35">
      <c r="C139" s="2"/>
      <c r="D139" s="2"/>
      <c r="E139" s="2"/>
      <c r="F139" s="2"/>
      <c r="G139" s="2"/>
      <c r="H139" s="2"/>
      <c r="I139" s="2"/>
    </row>
    <row r="140" spans="3:12" ht="21" x14ac:dyDescent="0.35">
      <c r="C140" s="124" t="s">
        <v>147</v>
      </c>
      <c r="D140" s="124"/>
      <c r="E140" s="124"/>
      <c r="F140" s="124"/>
      <c r="H140" s="124" t="s">
        <v>163</v>
      </c>
      <c r="I140" s="124"/>
      <c r="J140" s="124"/>
      <c r="K140" s="124"/>
      <c r="L140" s="124"/>
    </row>
    <row r="141" spans="3:12" ht="21" x14ac:dyDescent="0.35">
      <c r="C141" s="15"/>
      <c r="D141" s="15"/>
      <c r="E141" s="15"/>
      <c r="F141" s="15"/>
      <c r="H141" s="15"/>
      <c r="I141" s="15"/>
      <c r="J141" s="15"/>
      <c r="K141" s="15"/>
      <c r="L141" s="15"/>
    </row>
    <row r="142" spans="3:12" x14ac:dyDescent="0.35">
      <c r="C142" s="2"/>
      <c r="D142" s="66" t="s">
        <v>23</v>
      </c>
      <c r="E142" s="66" t="s">
        <v>48</v>
      </c>
      <c r="F142" s="66" t="s">
        <v>25</v>
      </c>
      <c r="G142" s="2"/>
      <c r="H142" s="2"/>
      <c r="I142" s="66" t="s">
        <v>23</v>
      </c>
      <c r="J142" s="66" t="s">
        <v>48</v>
      </c>
      <c r="K142" s="66" t="s">
        <v>25</v>
      </c>
    </row>
    <row r="143" spans="3:12" x14ac:dyDescent="0.35">
      <c r="C143" s="2"/>
      <c r="D143" s="16" t="s">
        <v>5</v>
      </c>
      <c r="E143" s="17" t="s">
        <v>53</v>
      </c>
      <c r="F143" s="18" t="s">
        <v>2</v>
      </c>
      <c r="G143" s="2"/>
      <c r="H143" s="2"/>
      <c r="I143" s="16" t="s">
        <v>148</v>
      </c>
      <c r="J143" s="17" t="s">
        <v>57</v>
      </c>
      <c r="K143" s="18" t="s">
        <v>2</v>
      </c>
    </row>
    <row r="144" spans="3:12" ht="29" x14ac:dyDescent="0.35">
      <c r="C144" s="2"/>
      <c r="D144" s="19" t="s">
        <v>139</v>
      </c>
      <c r="E144" s="7" t="s">
        <v>61</v>
      </c>
      <c r="F144" s="20" t="s">
        <v>2</v>
      </c>
      <c r="G144" s="2"/>
      <c r="H144" s="2"/>
      <c r="I144" s="19" t="s">
        <v>149</v>
      </c>
      <c r="J144" s="7" t="s">
        <v>57</v>
      </c>
      <c r="K144" s="20" t="s">
        <v>2</v>
      </c>
    </row>
    <row r="145" spans="3:11" x14ac:dyDescent="0.35">
      <c r="C145" s="2"/>
      <c r="D145" s="19" t="s">
        <v>8</v>
      </c>
      <c r="E145" s="7" t="s">
        <v>53</v>
      </c>
      <c r="F145" s="20" t="s">
        <v>2</v>
      </c>
      <c r="G145" s="2"/>
      <c r="H145" s="2"/>
      <c r="I145" s="19" t="s">
        <v>150</v>
      </c>
      <c r="J145" s="7" t="s">
        <v>57</v>
      </c>
      <c r="K145" s="20" t="s">
        <v>2</v>
      </c>
    </row>
    <row r="146" spans="3:11" x14ac:dyDescent="0.35">
      <c r="C146" s="2"/>
      <c r="D146" s="19" t="s">
        <v>9</v>
      </c>
      <c r="E146" s="7" t="s">
        <v>53</v>
      </c>
      <c r="F146" s="20" t="s">
        <v>2</v>
      </c>
      <c r="G146" s="2"/>
      <c r="H146" s="2"/>
      <c r="I146" s="19" t="s">
        <v>151</v>
      </c>
      <c r="J146" s="7" t="s">
        <v>57</v>
      </c>
      <c r="K146" s="20" t="s">
        <v>2</v>
      </c>
    </row>
    <row r="147" spans="3:11" ht="29" x14ac:dyDescent="0.35">
      <c r="C147" s="2"/>
      <c r="D147" s="19" t="s">
        <v>140</v>
      </c>
      <c r="E147" s="7" t="s">
        <v>61</v>
      </c>
      <c r="F147" s="20" t="s">
        <v>2</v>
      </c>
      <c r="G147" s="2"/>
      <c r="H147" s="2"/>
      <c r="I147" s="19" t="s">
        <v>152</v>
      </c>
      <c r="J147" s="7" t="s">
        <v>57</v>
      </c>
      <c r="K147" s="20" t="s">
        <v>2</v>
      </c>
    </row>
    <row r="148" spans="3:11" x14ac:dyDescent="0.35">
      <c r="C148" s="2"/>
      <c r="D148" s="19" t="s">
        <v>7</v>
      </c>
      <c r="E148" s="7" t="s">
        <v>53</v>
      </c>
      <c r="F148" s="20" t="s">
        <v>2</v>
      </c>
      <c r="G148" s="2"/>
      <c r="H148" s="2"/>
      <c r="I148" s="19" t="s">
        <v>153</v>
      </c>
      <c r="J148" s="7" t="s">
        <v>57</v>
      </c>
      <c r="K148" s="20" t="s">
        <v>2</v>
      </c>
    </row>
    <row r="149" spans="3:11" ht="29" x14ac:dyDescent="0.35">
      <c r="C149" s="2"/>
      <c r="D149" s="19" t="s">
        <v>141</v>
      </c>
      <c r="E149" s="7" t="s">
        <v>61</v>
      </c>
      <c r="F149" s="20" t="s">
        <v>2</v>
      </c>
      <c r="G149" s="2"/>
      <c r="H149" s="2"/>
      <c r="I149" s="19" t="s">
        <v>154</v>
      </c>
      <c r="J149" s="7" t="s">
        <v>57</v>
      </c>
      <c r="K149" s="20" t="s">
        <v>2</v>
      </c>
    </row>
    <row r="150" spans="3:11" ht="29" x14ac:dyDescent="0.35">
      <c r="C150" s="2"/>
      <c r="D150" s="19" t="s">
        <v>142</v>
      </c>
      <c r="E150" s="7" t="s">
        <v>61</v>
      </c>
      <c r="F150" s="20" t="s">
        <v>2</v>
      </c>
      <c r="G150" s="2"/>
      <c r="H150" s="2"/>
      <c r="I150" s="19" t="s">
        <v>155</v>
      </c>
      <c r="J150" s="7" t="s">
        <v>57</v>
      </c>
      <c r="K150" s="20" t="s">
        <v>2</v>
      </c>
    </row>
    <row r="151" spans="3:11" ht="29" x14ac:dyDescent="0.35">
      <c r="C151" s="2"/>
      <c r="D151" s="19" t="s">
        <v>143</v>
      </c>
      <c r="E151" s="7" t="s">
        <v>61</v>
      </c>
      <c r="F151" s="20" t="s">
        <v>2</v>
      </c>
      <c r="G151" s="2"/>
      <c r="H151" s="2"/>
      <c r="I151" s="19" t="s">
        <v>156</v>
      </c>
      <c r="J151" s="7" t="s">
        <v>57</v>
      </c>
      <c r="K151" s="20" t="s">
        <v>2</v>
      </c>
    </row>
    <row r="152" spans="3:11" x14ac:dyDescent="0.35">
      <c r="C152" s="2"/>
      <c r="D152" s="19" t="s">
        <v>10</v>
      </c>
      <c r="E152" s="7" t="s">
        <v>53</v>
      </c>
      <c r="F152" s="20" t="s">
        <v>2</v>
      </c>
      <c r="G152" s="2"/>
      <c r="H152" s="2"/>
      <c r="I152" s="19" t="s">
        <v>157</v>
      </c>
      <c r="J152" s="7" t="s">
        <v>57</v>
      </c>
      <c r="K152" s="20" t="s">
        <v>2</v>
      </c>
    </row>
    <row r="153" spans="3:11" ht="29" x14ac:dyDescent="0.35">
      <c r="C153" s="2"/>
      <c r="D153" s="19" t="s">
        <v>144</v>
      </c>
      <c r="E153" s="7" t="s">
        <v>61</v>
      </c>
      <c r="F153" s="20" t="s">
        <v>2</v>
      </c>
      <c r="G153" s="2"/>
      <c r="H153" s="2"/>
      <c r="I153" s="19" t="s">
        <v>158</v>
      </c>
      <c r="J153" s="7" t="s">
        <v>57</v>
      </c>
      <c r="K153" s="20" t="s">
        <v>2</v>
      </c>
    </row>
    <row r="154" spans="3:11" ht="29" x14ac:dyDescent="0.35">
      <c r="C154" s="2"/>
      <c r="D154" s="19" t="s">
        <v>145</v>
      </c>
      <c r="E154" s="7" t="s">
        <v>61</v>
      </c>
      <c r="F154" s="20" t="s">
        <v>2</v>
      </c>
      <c r="G154" s="2"/>
      <c r="H154" s="2"/>
      <c r="I154" s="19" t="s">
        <v>159</v>
      </c>
      <c r="J154" s="7" t="s">
        <v>57</v>
      </c>
      <c r="K154" s="20" t="s">
        <v>2</v>
      </c>
    </row>
    <row r="155" spans="3:11" ht="29" x14ac:dyDescent="0.35">
      <c r="C155" s="2"/>
      <c r="D155" s="21" t="s">
        <v>146</v>
      </c>
      <c r="E155" s="22" t="s">
        <v>61</v>
      </c>
      <c r="F155" s="23" t="s">
        <v>2</v>
      </c>
      <c r="G155" s="2"/>
      <c r="H155" s="2"/>
      <c r="I155" s="19" t="s">
        <v>160</v>
      </c>
      <c r="J155" s="7" t="s">
        <v>55</v>
      </c>
      <c r="K155" s="20" t="s">
        <v>2</v>
      </c>
    </row>
    <row r="156" spans="3:11" x14ac:dyDescent="0.35">
      <c r="C156" s="2"/>
      <c r="D156" s="2"/>
      <c r="E156" s="2"/>
      <c r="F156" s="2"/>
      <c r="G156" s="2"/>
      <c r="H156" s="2"/>
      <c r="I156" s="19" t="s">
        <v>161</v>
      </c>
      <c r="J156" s="7" t="s">
        <v>55</v>
      </c>
      <c r="K156" s="20" t="s">
        <v>2</v>
      </c>
    </row>
    <row r="157" spans="3:11" x14ac:dyDescent="0.35">
      <c r="H157" s="2"/>
      <c r="I157" s="21" t="s">
        <v>162</v>
      </c>
      <c r="J157" s="22" t="s">
        <v>55</v>
      </c>
      <c r="K157" s="23" t="s">
        <v>2</v>
      </c>
    </row>
    <row r="158" spans="3:11" x14ac:dyDescent="0.35">
      <c r="C158" s="2"/>
      <c r="G158" s="2"/>
      <c r="H158" s="2"/>
      <c r="I158" s="2"/>
    </row>
    <row r="159" spans="3:11" x14ac:dyDescent="0.35">
      <c r="C159" s="2"/>
      <c r="D159" s="2"/>
      <c r="E159" s="2"/>
      <c r="F159" s="2"/>
      <c r="G159" s="2"/>
      <c r="H159" s="2"/>
      <c r="I159" s="2"/>
    </row>
    <row r="160" spans="3:11" x14ac:dyDescent="0.35">
      <c r="C160" s="2"/>
      <c r="D160" s="2"/>
      <c r="E160" s="2"/>
      <c r="F160" s="109" t="s">
        <v>128</v>
      </c>
      <c r="G160" s="109"/>
      <c r="H160" s="109"/>
      <c r="I160" s="109"/>
    </row>
    <row r="161" spans="3:9" x14ac:dyDescent="0.35">
      <c r="F161" s="109"/>
      <c r="G161" s="109"/>
      <c r="H161" s="109"/>
      <c r="I161" s="109"/>
    </row>
    <row r="162" spans="3:9" x14ac:dyDescent="0.35">
      <c r="C162" s="2"/>
      <c r="D162" s="2"/>
      <c r="E162" s="2"/>
      <c r="F162" s="2"/>
      <c r="G162" s="2"/>
      <c r="H162" s="2"/>
      <c r="I162" s="2"/>
    </row>
    <row r="163" spans="3:9" x14ac:dyDescent="0.35">
      <c r="C163" s="132" t="s">
        <v>123</v>
      </c>
      <c r="D163" s="133"/>
      <c r="E163" s="133"/>
      <c r="F163" s="134"/>
      <c r="G163" s="2"/>
    </row>
    <row r="164" spans="3:9" x14ac:dyDescent="0.35">
      <c r="C164" s="135"/>
      <c r="D164" s="136"/>
      <c r="E164" s="136"/>
      <c r="F164" s="137"/>
    </row>
    <row r="165" spans="3:9" ht="21" x14ac:dyDescent="0.35">
      <c r="C165" s="15"/>
      <c r="D165" s="15"/>
      <c r="E165" s="15"/>
      <c r="F165" s="15"/>
    </row>
    <row r="166" spans="3:9" ht="43.5" x14ac:dyDescent="0.35">
      <c r="C166" s="6" t="s">
        <v>0</v>
      </c>
      <c r="D166" s="67" t="s">
        <v>41</v>
      </c>
      <c r="E166" s="67" t="s">
        <v>29</v>
      </c>
      <c r="F166" s="67" t="s">
        <v>30</v>
      </c>
    </row>
    <row r="167" spans="3:9" x14ac:dyDescent="0.35">
      <c r="C167" s="43">
        <v>2015</v>
      </c>
      <c r="D167" s="44">
        <v>2603</v>
      </c>
      <c r="E167" s="44" t="s">
        <v>28</v>
      </c>
      <c r="F167" s="45" t="s">
        <v>28</v>
      </c>
    </row>
    <row r="168" spans="3:9" x14ac:dyDescent="0.35">
      <c r="C168" s="46">
        <v>2016</v>
      </c>
      <c r="D168" s="2">
        <v>9133</v>
      </c>
      <c r="E168" s="4" t="s">
        <v>31</v>
      </c>
      <c r="F168" s="36" t="s">
        <v>42</v>
      </c>
    </row>
    <row r="169" spans="3:9" x14ac:dyDescent="0.35">
      <c r="C169" s="47">
        <v>2017</v>
      </c>
      <c r="D169" s="48">
        <v>10502</v>
      </c>
      <c r="E169" s="37" t="s">
        <v>31</v>
      </c>
      <c r="F169" s="49" t="s">
        <v>43</v>
      </c>
    </row>
    <row r="170" spans="3:9" x14ac:dyDescent="0.35">
      <c r="C170" s="2"/>
      <c r="D170" s="2"/>
    </row>
    <row r="171" spans="3:9" x14ac:dyDescent="0.35">
      <c r="C171" s="100" t="s">
        <v>125</v>
      </c>
      <c r="D171" s="100"/>
      <c r="E171" s="100"/>
    </row>
    <row r="172" spans="3:9" x14ac:dyDescent="0.35">
      <c r="C172" s="100"/>
      <c r="D172" s="100"/>
      <c r="E172" s="100"/>
    </row>
    <row r="173" spans="3:9" ht="29" x14ac:dyDescent="0.35">
      <c r="C173" s="13" t="s">
        <v>35</v>
      </c>
      <c r="D173" s="13" t="s">
        <v>0</v>
      </c>
      <c r="E173" s="12" t="s">
        <v>40</v>
      </c>
      <c r="G173" s="100" t="s">
        <v>124</v>
      </c>
      <c r="H173" s="100"/>
      <c r="I173" s="100"/>
    </row>
    <row r="174" spans="3:9" ht="29" x14ac:dyDescent="0.35">
      <c r="C174" s="123" t="s">
        <v>36</v>
      </c>
      <c r="D174" s="33" t="s">
        <v>37</v>
      </c>
      <c r="E174" s="34">
        <v>6.2399999999999997E-2</v>
      </c>
      <c r="G174" s="13" t="s">
        <v>251</v>
      </c>
      <c r="H174" s="12" t="s">
        <v>34</v>
      </c>
      <c r="I174" s="13" t="s">
        <v>33</v>
      </c>
    </row>
    <row r="175" spans="3:9" x14ac:dyDescent="0.35">
      <c r="C175" s="121"/>
      <c r="D175" s="4" t="s">
        <v>38</v>
      </c>
      <c r="E175" s="35">
        <v>5.7999999999999996E-3</v>
      </c>
      <c r="G175" s="39" t="s">
        <v>252</v>
      </c>
      <c r="H175" s="40">
        <v>0.93230000000000002</v>
      </c>
      <c r="I175" s="34">
        <v>0.26250000000000001</v>
      </c>
    </row>
    <row r="176" spans="3:9" x14ac:dyDescent="0.35">
      <c r="C176" s="121" t="s">
        <v>3</v>
      </c>
      <c r="D176" s="4" t="s">
        <v>37</v>
      </c>
      <c r="E176" s="36" t="s">
        <v>39</v>
      </c>
      <c r="G176" s="41" t="s">
        <v>32</v>
      </c>
      <c r="H176" s="42">
        <v>6.7699999999999996E-2</v>
      </c>
      <c r="I176" s="38">
        <v>0.73750000000000004</v>
      </c>
    </row>
    <row r="177" spans="3:13" x14ac:dyDescent="0.35">
      <c r="C177" s="121"/>
      <c r="D177" s="4" t="s">
        <v>38</v>
      </c>
      <c r="E177" s="35">
        <v>0.56599999999999995</v>
      </c>
    </row>
    <row r="178" spans="3:13" x14ac:dyDescent="0.35">
      <c r="C178" s="121" t="s">
        <v>21</v>
      </c>
      <c r="D178" s="4" t="s">
        <v>37</v>
      </c>
      <c r="E178" s="36" t="s">
        <v>39</v>
      </c>
    </row>
    <row r="179" spans="3:13" x14ac:dyDescent="0.35">
      <c r="C179" s="122"/>
      <c r="D179" s="37" t="s">
        <v>38</v>
      </c>
      <c r="E179" s="38">
        <v>0.83960000000000001</v>
      </c>
    </row>
    <row r="180" spans="3:13" x14ac:dyDescent="0.35">
      <c r="E180" s="8"/>
    </row>
    <row r="181" spans="3:13" x14ac:dyDescent="0.35">
      <c r="C181" s="112" t="s">
        <v>205</v>
      </c>
      <c r="D181" s="120"/>
      <c r="E181" s="120"/>
      <c r="F181" s="120"/>
      <c r="G181" s="120"/>
      <c r="H181" s="120"/>
      <c r="I181" s="120"/>
      <c r="J181" s="120"/>
    </row>
    <row r="182" spans="3:13" x14ac:dyDescent="0.35">
      <c r="C182" s="120"/>
      <c r="D182" s="120"/>
      <c r="E182" s="120"/>
      <c r="F182" s="120"/>
      <c r="G182" s="120"/>
      <c r="H182" s="120"/>
      <c r="I182" s="120"/>
      <c r="J182" s="120"/>
    </row>
    <row r="184" spans="3:13" s="5" customFormat="1" ht="28.5" x14ac:dyDescent="0.35">
      <c r="C184" s="110" t="s">
        <v>44</v>
      </c>
      <c r="D184" s="110"/>
      <c r="E184" s="110"/>
      <c r="F184" s="110"/>
      <c r="G184" s="110"/>
      <c r="H184" s="110"/>
      <c r="I184" s="110"/>
      <c r="J184" s="110"/>
      <c r="K184" s="4"/>
    </row>
    <row r="185" spans="3:13" s="5" customFormat="1" ht="21" x14ac:dyDescent="0.35">
      <c r="K185" s="4"/>
    </row>
    <row r="186" spans="3:13" x14ac:dyDescent="0.35">
      <c r="C186" s="76" t="s">
        <v>0</v>
      </c>
      <c r="D186" s="77" t="s">
        <v>47</v>
      </c>
      <c r="E186" s="77" t="s">
        <v>45</v>
      </c>
      <c r="F186" s="77" t="s">
        <v>241</v>
      </c>
      <c r="G186" s="77" t="s">
        <v>242</v>
      </c>
      <c r="H186" s="77" t="s">
        <v>225</v>
      </c>
      <c r="I186" s="77" t="s">
        <v>46</v>
      </c>
      <c r="J186" s="77" t="s">
        <v>115</v>
      </c>
      <c r="K186" s="77" t="s">
        <v>116</v>
      </c>
      <c r="L186" s="77" t="s">
        <v>245</v>
      </c>
      <c r="M186" s="78" t="s">
        <v>208</v>
      </c>
    </row>
    <row r="187" spans="3:13" x14ac:dyDescent="0.35">
      <c r="C187" s="72">
        <v>2015</v>
      </c>
      <c r="D187" s="17">
        <v>1</v>
      </c>
      <c r="E187" s="17" t="s">
        <v>255</v>
      </c>
      <c r="F187" s="17">
        <v>283</v>
      </c>
      <c r="G187" s="17">
        <v>7</v>
      </c>
      <c r="H187" s="17">
        <v>276</v>
      </c>
      <c r="I187" s="17">
        <v>889882.30980000098</v>
      </c>
      <c r="J187" s="17">
        <v>24691.33</v>
      </c>
      <c r="K187" s="17">
        <v>865190.98</v>
      </c>
      <c r="L187" s="17">
        <v>531276.18000000005</v>
      </c>
      <c r="M187" s="17">
        <v>333914.8</v>
      </c>
    </row>
    <row r="188" spans="3:13" x14ac:dyDescent="0.35">
      <c r="C188" s="73">
        <v>2015</v>
      </c>
      <c r="D188" s="31">
        <v>1</v>
      </c>
      <c r="E188" s="31" t="s">
        <v>256</v>
      </c>
      <c r="F188" s="31">
        <v>252</v>
      </c>
      <c r="G188" s="31">
        <v>5</v>
      </c>
      <c r="H188" s="31">
        <v>247</v>
      </c>
      <c r="I188" s="31">
        <v>818316.28140000103</v>
      </c>
      <c r="J188" s="31">
        <v>17891.349999999999</v>
      </c>
      <c r="K188" s="31">
        <v>800424.93</v>
      </c>
      <c r="L188" s="31">
        <v>491899.89</v>
      </c>
      <c r="M188" s="31">
        <v>308525.03999999998</v>
      </c>
    </row>
    <row r="189" spans="3:13" x14ac:dyDescent="0.35">
      <c r="C189" s="73">
        <v>2015</v>
      </c>
      <c r="D189" s="7">
        <v>1</v>
      </c>
      <c r="E189" s="7" t="s">
        <v>257</v>
      </c>
      <c r="F189" s="7">
        <v>300</v>
      </c>
      <c r="G189" s="7">
        <v>15</v>
      </c>
      <c r="H189" s="7">
        <v>285</v>
      </c>
      <c r="I189" s="7">
        <v>975887.32600000105</v>
      </c>
      <c r="J189" s="7">
        <v>47127.59</v>
      </c>
      <c r="K189" s="7">
        <v>928759.74</v>
      </c>
      <c r="L189" s="7">
        <v>582960.89</v>
      </c>
      <c r="M189" s="7">
        <v>345798.85</v>
      </c>
    </row>
    <row r="190" spans="3:13" x14ac:dyDescent="0.35">
      <c r="C190" s="73">
        <v>2015</v>
      </c>
      <c r="D190" s="31">
        <v>2</v>
      </c>
      <c r="E190" s="31" t="s">
        <v>258</v>
      </c>
      <c r="F190" s="31">
        <v>293</v>
      </c>
      <c r="G190" s="31">
        <v>22</v>
      </c>
      <c r="H190" s="31">
        <v>271</v>
      </c>
      <c r="I190" s="31">
        <v>935862.01700000104</v>
      </c>
      <c r="J190" s="31">
        <v>63309.68</v>
      </c>
      <c r="K190" s="31">
        <v>872552.34</v>
      </c>
      <c r="L190" s="31">
        <v>558326.28</v>
      </c>
      <c r="M190" s="31">
        <v>314226.06</v>
      </c>
    </row>
    <row r="191" spans="3:13" x14ac:dyDescent="0.35">
      <c r="C191" s="73">
        <v>2015</v>
      </c>
      <c r="D191" s="31">
        <v>2</v>
      </c>
      <c r="E191" s="31" t="s">
        <v>259</v>
      </c>
      <c r="F191" s="31">
        <v>299</v>
      </c>
      <c r="G191" s="31">
        <v>16</v>
      </c>
      <c r="H191" s="31">
        <v>283</v>
      </c>
      <c r="I191" s="31">
        <v>948184.28160000104</v>
      </c>
      <c r="J191" s="31">
        <v>51087.42</v>
      </c>
      <c r="K191" s="31">
        <v>897096.86</v>
      </c>
      <c r="L191" s="31">
        <v>565316.24</v>
      </c>
      <c r="M191" s="31">
        <v>331780.62</v>
      </c>
    </row>
    <row r="192" spans="3:13" x14ac:dyDescent="0.35">
      <c r="C192" s="73">
        <v>2015</v>
      </c>
      <c r="D192" s="7">
        <v>2</v>
      </c>
      <c r="E192" s="7" t="s">
        <v>260</v>
      </c>
      <c r="F192" s="7">
        <v>324</v>
      </c>
      <c r="G192" s="7">
        <v>7</v>
      </c>
      <c r="H192" s="7">
        <v>317</v>
      </c>
      <c r="I192" s="7">
        <v>1020516.0008</v>
      </c>
      <c r="J192" s="7">
        <v>16053.81</v>
      </c>
      <c r="K192" s="7">
        <v>1004462.19</v>
      </c>
      <c r="L192" s="7">
        <v>609134.06999999995</v>
      </c>
      <c r="M192" s="7">
        <v>395328.12</v>
      </c>
    </row>
    <row r="193" spans="3:13" x14ac:dyDescent="0.35">
      <c r="C193" s="73">
        <v>2015</v>
      </c>
      <c r="D193" s="31">
        <v>3</v>
      </c>
      <c r="E193" s="31" t="s">
        <v>261</v>
      </c>
      <c r="F193" s="31">
        <v>374</v>
      </c>
      <c r="G193" s="31">
        <v>5</v>
      </c>
      <c r="H193" s="31">
        <v>369</v>
      </c>
      <c r="I193" s="31">
        <v>734267.48129999905</v>
      </c>
      <c r="J193" s="31">
        <v>9726.69</v>
      </c>
      <c r="K193" s="31">
        <v>724540.79</v>
      </c>
      <c r="L193" s="31">
        <v>437517.96</v>
      </c>
      <c r="M193" s="31">
        <v>287022.83</v>
      </c>
    </row>
    <row r="194" spans="3:13" x14ac:dyDescent="0.35">
      <c r="C194" s="73">
        <v>2015</v>
      </c>
      <c r="D194" s="7">
        <v>3</v>
      </c>
      <c r="E194" s="7" t="s">
        <v>262</v>
      </c>
      <c r="F194" s="7">
        <v>423</v>
      </c>
      <c r="G194" s="7">
        <v>11</v>
      </c>
      <c r="H194" s="7">
        <v>412</v>
      </c>
      <c r="I194" s="7">
        <v>817151.91650000005</v>
      </c>
      <c r="J194" s="7">
        <v>20374.71</v>
      </c>
      <c r="K194" s="7">
        <v>796777.21</v>
      </c>
      <c r="L194" s="7">
        <v>485267.66</v>
      </c>
      <c r="M194" s="7">
        <v>311509.55</v>
      </c>
    </row>
    <row r="195" spans="3:13" x14ac:dyDescent="0.35">
      <c r="C195" s="73">
        <v>2015</v>
      </c>
      <c r="D195" s="31">
        <v>3</v>
      </c>
      <c r="E195" s="31" t="s">
        <v>263</v>
      </c>
      <c r="F195" s="31">
        <v>296</v>
      </c>
      <c r="G195" s="31">
        <v>3</v>
      </c>
      <c r="H195" s="31">
        <v>293</v>
      </c>
      <c r="I195" s="31">
        <v>521710.12560000003</v>
      </c>
      <c r="J195" s="31">
        <v>6958.12</v>
      </c>
      <c r="K195" s="31">
        <v>514752.01</v>
      </c>
      <c r="L195" s="31">
        <v>307802.15000000002</v>
      </c>
      <c r="M195" s="31">
        <v>206949.86</v>
      </c>
    </row>
    <row r="196" spans="3:13" x14ac:dyDescent="0.35">
      <c r="C196" s="73">
        <v>2015</v>
      </c>
      <c r="D196" s="7">
        <v>4</v>
      </c>
      <c r="E196" s="7" t="s">
        <v>264</v>
      </c>
      <c r="F196" s="7">
        <v>343</v>
      </c>
      <c r="G196" s="7">
        <v>17</v>
      </c>
      <c r="H196" s="7">
        <v>326</v>
      </c>
      <c r="I196" s="7">
        <v>626330.12650000001</v>
      </c>
      <c r="J196" s="7">
        <v>33805.57</v>
      </c>
      <c r="K196" s="7">
        <v>592524.56000000006</v>
      </c>
      <c r="L196" s="7">
        <v>365348.74</v>
      </c>
      <c r="M196" s="7">
        <v>227175.82</v>
      </c>
    </row>
    <row r="197" spans="3:13" x14ac:dyDescent="0.35">
      <c r="C197" s="73">
        <v>2015</v>
      </c>
      <c r="D197" s="31">
        <v>4</v>
      </c>
      <c r="E197" s="31" t="s">
        <v>265</v>
      </c>
      <c r="F197" s="31">
        <v>293</v>
      </c>
      <c r="G197" s="31">
        <v>7</v>
      </c>
      <c r="H197" s="31">
        <v>286</v>
      </c>
      <c r="I197" s="31">
        <v>495147.45250000001</v>
      </c>
      <c r="J197" s="31">
        <v>9208.6200000000008</v>
      </c>
      <c r="K197" s="31">
        <v>485938.83</v>
      </c>
      <c r="L197" s="31">
        <v>291950.92</v>
      </c>
      <c r="M197" s="31">
        <v>193987.91</v>
      </c>
    </row>
    <row r="198" spans="3:13" x14ac:dyDescent="0.35">
      <c r="C198" s="73">
        <v>2015</v>
      </c>
      <c r="D198" s="32">
        <v>4</v>
      </c>
      <c r="E198" s="32" t="s">
        <v>266</v>
      </c>
      <c r="F198" s="32">
        <v>493</v>
      </c>
      <c r="G198" s="32">
        <v>19</v>
      </c>
      <c r="H198" s="32">
        <v>474</v>
      </c>
      <c r="I198" s="32">
        <v>845605.69220000098</v>
      </c>
      <c r="J198" s="32">
        <v>33779.760000000002</v>
      </c>
      <c r="K198" s="32">
        <v>811825.93</v>
      </c>
      <c r="L198" s="32">
        <v>489216.85</v>
      </c>
      <c r="M198" s="32">
        <v>322609.08</v>
      </c>
    </row>
    <row r="199" spans="3:13" x14ac:dyDescent="0.35">
      <c r="C199" s="74">
        <v>2016</v>
      </c>
      <c r="D199" s="31">
        <v>1</v>
      </c>
      <c r="E199" s="31" t="s">
        <v>255</v>
      </c>
      <c r="F199" s="31">
        <v>374</v>
      </c>
      <c r="G199" s="31">
        <v>12</v>
      </c>
      <c r="H199" s="31">
        <v>362</v>
      </c>
      <c r="I199" s="31">
        <v>661953.12009999994</v>
      </c>
      <c r="J199" s="31">
        <v>20042.7</v>
      </c>
      <c r="K199" s="31">
        <v>641910.42000000004</v>
      </c>
      <c r="L199" s="31">
        <v>382924.72</v>
      </c>
      <c r="M199" s="31">
        <v>258985.7</v>
      </c>
    </row>
    <row r="200" spans="3:13" x14ac:dyDescent="0.35">
      <c r="C200" s="74">
        <v>2016</v>
      </c>
      <c r="D200" s="7">
        <v>1</v>
      </c>
      <c r="E200" s="7" t="s">
        <v>256</v>
      </c>
      <c r="F200" s="7">
        <v>392</v>
      </c>
      <c r="G200" s="7">
        <v>10</v>
      </c>
      <c r="H200" s="7">
        <v>382</v>
      </c>
      <c r="I200" s="7">
        <v>696313.6287</v>
      </c>
      <c r="J200" s="7">
        <v>16636.95</v>
      </c>
      <c r="K200" s="7">
        <v>679676.68</v>
      </c>
      <c r="L200" s="7">
        <v>402558.44</v>
      </c>
      <c r="M200" s="7">
        <v>277118.24</v>
      </c>
    </row>
    <row r="201" spans="3:13" x14ac:dyDescent="0.35">
      <c r="C201" s="74">
        <v>2016</v>
      </c>
      <c r="D201" s="7">
        <v>1</v>
      </c>
      <c r="E201" s="7" t="s">
        <v>257</v>
      </c>
      <c r="F201" s="7">
        <v>400</v>
      </c>
      <c r="G201" s="7">
        <v>12</v>
      </c>
      <c r="H201" s="7">
        <v>388</v>
      </c>
      <c r="I201" s="7">
        <v>705619.52289999998</v>
      </c>
      <c r="J201" s="7">
        <v>18914.93</v>
      </c>
      <c r="K201" s="7">
        <v>686704.59</v>
      </c>
      <c r="L201" s="7">
        <v>407086.95</v>
      </c>
      <c r="M201" s="7">
        <v>279617.64</v>
      </c>
    </row>
    <row r="202" spans="3:13" x14ac:dyDescent="0.35">
      <c r="C202" s="74">
        <v>2016</v>
      </c>
      <c r="D202" s="7">
        <v>2</v>
      </c>
      <c r="E202" s="7" t="s">
        <v>258</v>
      </c>
      <c r="F202" s="7">
        <v>436</v>
      </c>
      <c r="G202" s="7">
        <v>6</v>
      </c>
      <c r="H202" s="7">
        <v>430</v>
      </c>
      <c r="I202" s="7">
        <v>732703.36190000095</v>
      </c>
      <c r="J202" s="7">
        <v>10160.86</v>
      </c>
      <c r="K202" s="7">
        <v>722542.5</v>
      </c>
      <c r="L202" s="7">
        <v>422617.45</v>
      </c>
      <c r="M202" s="7">
        <v>299925.05</v>
      </c>
    </row>
    <row r="203" spans="3:13" x14ac:dyDescent="0.35">
      <c r="C203" s="74">
        <v>2016</v>
      </c>
      <c r="D203" s="7">
        <v>2</v>
      </c>
      <c r="E203" s="7" t="s">
        <v>259</v>
      </c>
      <c r="F203" s="7">
        <v>513</v>
      </c>
      <c r="G203" s="7">
        <v>14</v>
      </c>
      <c r="H203" s="7">
        <v>499</v>
      </c>
      <c r="I203" s="7">
        <v>850070.09110000101</v>
      </c>
      <c r="J203" s="7">
        <v>23319.56</v>
      </c>
      <c r="K203" s="7">
        <v>826750.53</v>
      </c>
      <c r="L203" s="7">
        <v>487504.09</v>
      </c>
      <c r="M203" s="7">
        <v>339246.44</v>
      </c>
    </row>
    <row r="204" spans="3:13" x14ac:dyDescent="0.35">
      <c r="C204" s="74">
        <v>2016</v>
      </c>
      <c r="D204" s="31">
        <v>2</v>
      </c>
      <c r="E204" s="31" t="s">
        <v>260</v>
      </c>
      <c r="F204" s="31">
        <v>451</v>
      </c>
      <c r="G204" s="31">
        <v>13</v>
      </c>
      <c r="H204" s="31">
        <v>438</v>
      </c>
      <c r="I204" s="31">
        <v>769770.13400000101</v>
      </c>
      <c r="J204" s="31">
        <v>23403.87</v>
      </c>
      <c r="K204" s="31">
        <v>746366.26</v>
      </c>
      <c r="L204" s="31">
        <v>441067.86</v>
      </c>
      <c r="M204" s="31">
        <v>305298.40000000002</v>
      </c>
    </row>
    <row r="205" spans="3:13" x14ac:dyDescent="0.35">
      <c r="C205" s="74">
        <v>2016</v>
      </c>
      <c r="D205" s="32">
        <v>3</v>
      </c>
      <c r="E205" s="32" t="s">
        <v>261</v>
      </c>
      <c r="F205" s="32">
        <v>4549</v>
      </c>
      <c r="G205" s="32">
        <v>69</v>
      </c>
      <c r="H205" s="32">
        <v>4480</v>
      </c>
      <c r="I205" s="32">
        <v>1271891.1866999799</v>
      </c>
      <c r="J205" s="32">
        <v>33301.769999999997</v>
      </c>
      <c r="K205" s="32">
        <v>1238589.42</v>
      </c>
      <c r="L205" s="32">
        <v>732203.27</v>
      </c>
      <c r="M205" s="32">
        <v>506386.15</v>
      </c>
    </row>
    <row r="206" spans="3:13" x14ac:dyDescent="0.35">
      <c r="C206" s="74">
        <v>2016</v>
      </c>
      <c r="D206" s="7">
        <v>3</v>
      </c>
      <c r="E206" s="7" t="s">
        <v>262</v>
      </c>
      <c r="F206" s="7">
        <v>11352</v>
      </c>
      <c r="G206" s="7">
        <v>180</v>
      </c>
      <c r="H206" s="7">
        <v>11172</v>
      </c>
      <c r="I206" s="7">
        <v>1320834.3338999499</v>
      </c>
      <c r="J206" s="7">
        <v>43275.09</v>
      </c>
      <c r="K206" s="7">
        <v>1277559.24</v>
      </c>
      <c r="L206" s="7">
        <v>740749.11</v>
      </c>
      <c r="M206" s="7">
        <v>536810.13</v>
      </c>
    </row>
    <row r="207" spans="3:13" x14ac:dyDescent="0.35">
      <c r="C207" s="74">
        <v>2016</v>
      </c>
      <c r="D207" s="7">
        <v>3</v>
      </c>
      <c r="E207" s="7" t="s">
        <v>263</v>
      </c>
      <c r="F207" s="7">
        <v>11508</v>
      </c>
      <c r="G207" s="7">
        <v>181</v>
      </c>
      <c r="H207" s="7">
        <v>11327</v>
      </c>
      <c r="I207" s="7">
        <v>1573987.3194999499</v>
      </c>
      <c r="J207" s="7">
        <v>51827.61</v>
      </c>
      <c r="K207" s="7">
        <v>1522159.71</v>
      </c>
      <c r="L207" s="7">
        <v>885319.79</v>
      </c>
      <c r="M207" s="7">
        <v>636839.92000000004</v>
      </c>
    </row>
    <row r="208" spans="3:13" x14ac:dyDescent="0.35">
      <c r="C208" s="74">
        <v>2016</v>
      </c>
      <c r="D208" s="7">
        <v>4</v>
      </c>
      <c r="E208" s="7" t="s">
        <v>264</v>
      </c>
      <c r="F208" s="7">
        <v>12468</v>
      </c>
      <c r="G208" s="7">
        <v>197</v>
      </c>
      <c r="H208" s="7">
        <v>12271</v>
      </c>
      <c r="I208" s="7">
        <v>1709442.45209994</v>
      </c>
      <c r="J208" s="7">
        <v>63147.42</v>
      </c>
      <c r="K208" s="7">
        <v>1646295.03</v>
      </c>
      <c r="L208" s="7">
        <v>963792.32</v>
      </c>
      <c r="M208" s="7">
        <v>682502.71</v>
      </c>
    </row>
    <row r="209" spans="3:13" x14ac:dyDescent="0.35">
      <c r="C209" s="74">
        <v>2016</v>
      </c>
      <c r="D209" s="7">
        <v>4</v>
      </c>
      <c r="E209" s="7" t="s">
        <v>265</v>
      </c>
      <c r="F209" s="7">
        <v>12397</v>
      </c>
      <c r="G209" s="7">
        <v>212</v>
      </c>
      <c r="H209" s="7">
        <v>12185</v>
      </c>
      <c r="I209" s="7">
        <v>1834321.3756999399</v>
      </c>
      <c r="J209" s="7">
        <v>52252.12</v>
      </c>
      <c r="K209" s="7">
        <v>1782069.26</v>
      </c>
      <c r="L209" s="7">
        <v>1042127.18</v>
      </c>
      <c r="M209" s="7">
        <v>739942.08</v>
      </c>
    </row>
    <row r="210" spans="3:13" x14ac:dyDescent="0.35">
      <c r="C210" s="74">
        <v>2016</v>
      </c>
      <c r="D210" s="32">
        <v>4</v>
      </c>
      <c r="E210" s="32" t="s">
        <v>266</v>
      </c>
      <c r="F210" s="32">
        <v>16033</v>
      </c>
      <c r="G210" s="32">
        <v>239</v>
      </c>
      <c r="H210" s="32">
        <v>15794</v>
      </c>
      <c r="I210" s="32">
        <v>2648536.8388999798</v>
      </c>
      <c r="J210" s="32">
        <v>57578.82</v>
      </c>
      <c r="K210" s="32">
        <v>2590958.02</v>
      </c>
      <c r="L210" s="32">
        <v>1516653.66</v>
      </c>
      <c r="M210" s="32">
        <v>1074304.3600000001</v>
      </c>
    </row>
    <row r="211" spans="3:13" x14ac:dyDescent="0.35">
      <c r="C211" s="75">
        <v>2017</v>
      </c>
      <c r="D211" s="31">
        <v>1</v>
      </c>
      <c r="E211" s="31" t="s">
        <v>255</v>
      </c>
      <c r="F211" s="31">
        <v>13692</v>
      </c>
      <c r="G211" s="31">
        <v>241</v>
      </c>
      <c r="H211" s="31">
        <v>13451</v>
      </c>
      <c r="I211" s="31">
        <v>2101453.13989993</v>
      </c>
      <c r="J211" s="31">
        <v>46745.39</v>
      </c>
      <c r="K211" s="31">
        <v>2054707.75</v>
      </c>
      <c r="L211" s="31">
        <v>1198321.3799999999</v>
      </c>
      <c r="M211" s="31">
        <v>856386.37</v>
      </c>
    </row>
    <row r="212" spans="3:13" x14ac:dyDescent="0.35">
      <c r="C212" s="75">
        <v>2017</v>
      </c>
      <c r="D212" s="7">
        <v>1</v>
      </c>
      <c r="E212" s="7" t="s">
        <v>256</v>
      </c>
      <c r="F212" s="7">
        <v>13459</v>
      </c>
      <c r="G212" s="7">
        <v>227</v>
      </c>
      <c r="H212" s="7">
        <v>13232</v>
      </c>
      <c r="I212" s="7">
        <v>2132991.83699993</v>
      </c>
      <c r="J212" s="7">
        <v>47856.5</v>
      </c>
      <c r="K212" s="7">
        <v>2085135.34</v>
      </c>
      <c r="L212" s="7">
        <v>1215651.3500000001</v>
      </c>
      <c r="M212" s="7">
        <v>869483.99</v>
      </c>
    </row>
    <row r="213" spans="3:13" x14ac:dyDescent="0.35">
      <c r="C213" s="75">
        <v>2017</v>
      </c>
      <c r="D213" s="7">
        <v>1</v>
      </c>
      <c r="E213" s="7" t="s">
        <v>257</v>
      </c>
      <c r="F213" s="7">
        <v>14481</v>
      </c>
      <c r="G213" s="7">
        <v>243</v>
      </c>
      <c r="H213" s="7">
        <v>14238</v>
      </c>
      <c r="I213" s="7">
        <v>2339482.2223999598</v>
      </c>
      <c r="J213" s="7">
        <v>66921.820000000007</v>
      </c>
      <c r="K213" s="7">
        <v>2272560.4</v>
      </c>
      <c r="L213" s="7">
        <v>1336406.98</v>
      </c>
      <c r="M213" s="7">
        <v>936153.42</v>
      </c>
    </row>
    <row r="214" spans="3:13" x14ac:dyDescent="0.35">
      <c r="C214" s="75">
        <v>2017</v>
      </c>
      <c r="D214" s="7">
        <v>2</v>
      </c>
      <c r="E214" s="7" t="s">
        <v>258</v>
      </c>
      <c r="F214" s="7">
        <v>15378</v>
      </c>
      <c r="G214" s="7">
        <v>255</v>
      </c>
      <c r="H214" s="7">
        <v>15123</v>
      </c>
      <c r="I214" s="7">
        <v>2469969.9700999502</v>
      </c>
      <c r="J214" s="7">
        <v>88177.82</v>
      </c>
      <c r="K214" s="7">
        <v>2381792.15</v>
      </c>
      <c r="L214" s="7">
        <v>1414188.23</v>
      </c>
      <c r="M214" s="7">
        <v>967603.92</v>
      </c>
    </row>
    <row r="215" spans="3:13" x14ac:dyDescent="0.35">
      <c r="C215" s="75">
        <v>2017</v>
      </c>
      <c r="D215" s="7">
        <v>2</v>
      </c>
      <c r="E215" s="7" t="s">
        <v>259</v>
      </c>
      <c r="F215" s="7">
        <v>16699</v>
      </c>
      <c r="G215" s="7">
        <v>249</v>
      </c>
      <c r="H215" s="7">
        <v>16450</v>
      </c>
      <c r="I215" s="7">
        <v>2853006.1913999901</v>
      </c>
      <c r="J215" s="7">
        <v>79618.490000000005</v>
      </c>
      <c r="K215" s="7">
        <v>2773387.7</v>
      </c>
      <c r="L215" s="7">
        <v>1621072.21</v>
      </c>
      <c r="M215" s="7">
        <v>1152315.49</v>
      </c>
    </row>
    <row r="216" spans="3:13" x14ac:dyDescent="0.35">
      <c r="C216" s="75">
        <v>2017</v>
      </c>
      <c r="D216" s="7">
        <v>2</v>
      </c>
      <c r="E216" s="7" t="s">
        <v>260</v>
      </c>
      <c r="F216" s="7">
        <v>16801</v>
      </c>
      <c r="G216" s="7">
        <v>231</v>
      </c>
      <c r="H216" s="7">
        <v>16570</v>
      </c>
      <c r="I216" s="7">
        <v>2906452.6967999898</v>
      </c>
      <c r="J216" s="7">
        <v>77623.45</v>
      </c>
      <c r="K216" s="7">
        <v>2828829.25</v>
      </c>
      <c r="L216" s="7">
        <v>1664216.93</v>
      </c>
      <c r="M216" s="7">
        <v>1164612.32</v>
      </c>
    </row>
    <row r="217" spans="3:13" x14ac:dyDescent="0.35">
      <c r="C217" s="7"/>
      <c r="D217" s="7"/>
      <c r="E217" s="7"/>
      <c r="F217" s="7"/>
      <c r="G217" s="7"/>
      <c r="H217" s="7"/>
      <c r="I217" s="7"/>
      <c r="J217" s="7"/>
    </row>
    <row r="218" spans="3:13" x14ac:dyDescent="0.35">
      <c r="C218" s="101" t="s">
        <v>121</v>
      </c>
      <c r="D218" s="101"/>
      <c r="E218" s="101"/>
      <c r="F218" s="101"/>
      <c r="G218" s="101"/>
      <c r="H218" s="101"/>
      <c r="I218" s="7"/>
      <c r="J218" s="7"/>
    </row>
    <row r="219" spans="3:13" x14ac:dyDescent="0.35">
      <c r="C219" s="101"/>
      <c r="D219" s="101"/>
      <c r="E219" s="101"/>
      <c r="F219" s="101"/>
      <c r="G219" s="101"/>
      <c r="H219" s="101"/>
      <c r="I219" s="7"/>
      <c r="J219" s="7"/>
    </row>
    <row r="220" spans="3:13" ht="21" x14ac:dyDescent="0.35">
      <c r="C220" s="68"/>
      <c r="D220" s="68"/>
      <c r="E220" s="68"/>
      <c r="F220" s="68"/>
      <c r="G220" s="68"/>
      <c r="H220" s="68"/>
      <c r="I220" s="7"/>
      <c r="J220" s="7"/>
    </row>
    <row r="221" spans="3:13" x14ac:dyDescent="0.35">
      <c r="C221" s="67" t="s">
        <v>0</v>
      </c>
      <c r="D221" s="67" t="s">
        <v>117</v>
      </c>
      <c r="E221" s="67" t="s">
        <v>113</v>
      </c>
      <c r="F221" s="67" t="s">
        <v>118</v>
      </c>
      <c r="G221" s="67" t="s">
        <v>119</v>
      </c>
      <c r="H221" s="67" t="s">
        <v>120</v>
      </c>
      <c r="I221" s="7"/>
      <c r="J221" s="7"/>
    </row>
    <row r="222" spans="3:13" x14ac:dyDescent="0.35">
      <c r="C222" s="16">
        <v>2015</v>
      </c>
      <c r="D222" s="17">
        <v>9628861.0099999998</v>
      </c>
      <c r="E222" s="17">
        <v>334014.63</v>
      </c>
      <c r="F222" s="17">
        <v>3.47</v>
      </c>
      <c r="G222" s="17">
        <v>9294846.3800000008</v>
      </c>
      <c r="H222" s="18"/>
      <c r="I222" s="7"/>
      <c r="J222" s="7"/>
    </row>
    <row r="223" spans="3:13" x14ac:dyDescent="0.35">
      <c r="C223" s="19">
        <v>2016</v>
      </c>
      <c r="D223" s="7">
        <v>14775443.369999999</v>
      </c>
      <c r="E223" s="7">
        <v>413861.7</v>
      </c>
      <c r="F223" s="7">
        <v>2.8</v>
      </c>
      <c r="G223" s="7">
        <v>14361581.67</v>
      </c>
      <c r="H223" s="20">
        <v>54.51</v>
      </c>
      <c r="I223" s="7"/>
    </row>
    <row r="224" spans="3:13" x14ac:dyDescent="0.35">
      <c r="C224" s="21">
        <v>2017</v>
      </c>
      <c r="D224" s="22">
        <v>14803356.060000001</v>
      </c>
      <c r="E224" s="22">
        <v>406943.47</v>
      </c>
      <c r="F224" s="22">
        <v>2.75</v>
      </c>
      <c r="G224" s="22">
        <v>14396412.59</v>
      </c>
      <c r="H224" s="23">
        <v>0.24</v>
      </c>
      <c r="I224" s="7"/>
      <c r="J224" s="7"/>
    </row>
    <row r="225" spans="3:13" x14ac:dyDescent="0.35">
      <c r="C225" s="7"/>
      <c r="D225" s="7"/>
      <c r="E225" s="7"/>
      <c r="F225" s="7"/>
      <c r="G225" s="7"/>
      <c r="H225" s="7"/>
      <c r="I225" s="7"/>
      <c r="J225" s="7"/>
    </row>
    <row r="227" spans="3:13" x14ac:dyDescent="0.35">
      <c r="C227" s="126" t="s">
        <v>122</v>
      </c>
      <c r="D227" s="127"/>
      <c r="E227" s="127"/>
      <c r="F227" s="127"/>
      <c r="G227" s="127"/>
      <c r="H227" s="127"/>
      <c r="I227" s="127"/>
      <c r="J227" s="127"/>
      <c r="K227" s="127"/>
      <c r="L227" s="127"/>
      <c r="M227" s="128"/>
    </row>
    <row r="228" spans="3:13" x14ac:dyDescent="0.35">
      <c r="C228" s="129"/>
      <c r="D228" s="130"/>
      <c r="E228" s="130"/>
      <c r="F228" s="130"/>
      <c r="G228" s="130"/>
      <c r="H228" s="130"/>
      <c r="I228" s="130"/>
      <c r="J228" s="130"/>
      <c r="K228" s="130"/>
      <c r="L228" s="130"/>
      <c r="M228" s="131"/>
    </row>
    <row r="229" spans="3:13" ht="21" x14ac:dyDescent="0.35">
      <c r="C229" s="5"/>
      <c r="D229" s="5"/>
      <c r="E229" s="5"/>
      <c r="F229" s="5"/>
      <c r="G229" s="5"/>
      <c r="H229" s="5"/>
      <c r="I229" s="5"/>
      <c r="J229" s="5"/>
      <c r="K229" s="5"/>
      <c r="L229" s="5"/>
      <c r="M229" s="5"/>
    </row>
    <row r="230" spans="3:13" x14ac:dyDescent="0.35">
      <c r="C230" s="81" t="s">
        <v>0</v>
      </c>
      <c r="D230" s="82" t="s">
        <v>48</v>
      </c>
      <c r="E230" s="82" t="s">
        <v>49</v>
      </c>
      <c r="F230" s="82" t="s">
        <v>24</v>
      </c>
      <c r="G230" s="82" t="s">
        <v>25</v>
      </c>
      <c r="H230" s="82" t="s">
        <v>50</v>
      </c>
      <c r="I230" s="82" t="s">
        <v>51</v>
      </c>
      <c r="J230" s="82" t="s">
        <v>52</v>
      </c>
      <c r="K230" s="82" t="s">
        <v>112</v>
      </c>
      <c r="L230" s="82" t="s">
        <v>113</v>
      </c>
      <c r="M230" s="83" t="s">
        <v>114</v>
      </c>
    </row>
    <row r="231" spans="3:13" x14ac:dyDescent="0.35">
      <c r="C231" s="19">
        <v>2015</v>
      </c>
      <c r="D231" s="7" t="s">
        <v>53</v>
      </c>
      <c r="E231" s="7" t="s">
        <v>54</v>
      </c>
      <c r="F231" s="7" t="s">
        <v>6</v>
      </c>
      <c r="G231" s="7" t="s">
        <v>2</v>
      </c>
      <c r="H231" s="7">
        <v>1206</v>
      </c>
      <c r="I231" s="7">
        <v>45</v>
      </c>
      <c r="J231" s="7">
        <v>3.73E-2</v>
      </c>
      <c r="K231" s="7">
        <v>4315393.62</v>
      </c>
      <c r="L231" s="7">
        <v>161022.15</v>
      </c>
      <c r="M231" s="20">
        <v>4154371.47</v>
      </c>
    </row>
    <row r="232" spans="3:13" x14ac:dyDescent="0.35">
      <c r="C232" s="19">
        <v>2015</v>
      </c>
      <c r="D232" s="7" t="s">
        <v>55</v>
      </c>
      <c r="E232" s="7" t="s">
        <v>56</v>
      </c>
      <c r="F232" s="7" t="s">
        <v>6</v>
      </c>
      <c r="G232" s="7" t="s">
        <v>2</v>
      </c>
      <c r="H232" s="7">
        <v>498</v>
      </c>
      <c r="I232" s="7">
        <v>21</v>
      </c>
      <c r="J232" s="7">
        <v>4.2200000000000001E-2</v>
      </c>
      <c r="K232" s="7">
        <v>1086418.1200000001</v>
      </c>
      <c r="L232" s="7">
        <v>45812.81</v>
      </c>
      <c r="M232" s="20">
        <v>1040605.31</v>
      </c>
    </row>
    <row r="233" spans="3:13" x14ac:dyDescent="0.35">
      <c r="C233" s="79">
        <v>2015</v>
      </c>
      <c r="D233" s="31" t="s">
        <v>57</v>
      </c>
      <c r="E233" s="31" t="s">
        <v>56</v>
      </c>
      <c r="F233" s="31" t="s">
        <v>6</v>
      </c>
      <c r="G233" s="31" t="s">
        <v>2</v>
      </c>
      <c r="H233" s="31">
        <v>293</v>
      </c>
      <c r="I233" s="31">
        <v>16</v>
      </c>
      <c r="J233" s="31">
        <v>5.4600000000000003E-2</v>
      </c>
      <c r="K233" s="31">
        <v>204835.77</v>
      </c>
      <c r="L233" s="31">
        <v>11185.57</v>
      </c>
      <c r="M233" s="80">
        <v>193650.2</v>
      </c>
    </row>
    <row r="234" spans="3:13" x14ac:dyDescent="0.35">
      <c r="C234" s="79">
        <v>2015</v>
      </c>
      <c r="D234" s="31" t="s">
        <v>58</v>
      </c>
      <c r="E234" s="31" t="s">
        <v>59</v>
      </c>
      <c r="F234" s="31" t="s">
        <v>60</v>
      </c>
      <c r="G234" s="31" t="s">
        <v>2</v>
      </c>
      <c r="H234" s="31">
        <v>266</v>
      </c>
      <c r="I234" s="31">
        <v>14</v>
      </c>
      <c r="J234" s="31">
        <v>5.2600000000000001E-2</v>
      </c>
      <c r="K234" s="31">
        <v>550997.61</v>
      </c>
      <c r="L234" s="31">
        <v>28999.87</v>
      </c>
      <c r="M234" s="80">
        <v>521997.74</v>
      </c>
    </row>
    <row r="235" spans="3:13" x14ac:dyDescent="0.35">
      <c r="C235" s="79">
        <v>2015</v>
      </c>
      <c r="D235" s="31" t="s">
        <v>61</v>
      </c>
      <c r="E235" s="31" t="s">
        <v>59</v>
      </c>
      <c r="F235" s="31" t="s">
        <v>60</v>
      </c>
      <c r="G235" s="31" t="s">
        <v>2</v>
      </c>
      <c r="H235" s="31">
        <v>154</v>
      </c>
      <c r="I235" s="31">
        <v>10</v>
      </c>
      <c r="J235" s="31">
        <v>6.4899999999999999E-2</v>
      </c>
      <c r="K235" s="31">
        <v>523598.46</v>
      </c>
      <c r="L235" s="31">
        <v>33749.9</v>
      </c>
      <c r="M235" s="80">
        <v>489848.56</v>
      </c>
    </row>
    <row r="236" spans="3:13" x14ac:dyDescent="0.35">
      <c r="C236" s="19">
        <v>2015</v>
      </c>
      <c r="D236" s="7" t="s">
        <v>55</v>
      </c>
      <c r="E236" s="7" t="s">
        <v>54</v>
      </c>
      <c r="F236" s="7" t="s">
        <v>6</v>
      </c>
      <c r="G236" s="7" t="s">
        <v>2</v>
      </c>
      <c r="H236" s="7">
        <v>531</v>
      </c>
      <c r="I236" s="7">
        <v>7</v>
      </c>
      <c r="J236" s="7">
        <v>1.32E-2</v>
      </c>
      <c r="K236" s="7">
        <v>1254485.7</v>
      </c>
      <c r="L236" s="7">
        <v>17103.45</v>
      </c>
      <c r="M236" s="20">
        <v>1237382.25</v>
      </c>
    </row>
    <row r="237" spans="3:13" x14ac:dyDescent="0.35">
      <c r="C237" s="19">
        <v>2015</v>
      </c>
      <c r="D237" s="7" t="s">
        <v>57</v>
      </c>
      <c r="E237" s="7" t="s">
        <v>54</v>
      </c>
      <c r="F237" s="7" t="s">
        <v>6</v>
      </c>
      <c r="G237" s="7" t="s">
        <v>2</v>
      </c>
      <c r="H237" s="7">
        <v>304</v>
      </c>
      <c r="I237" s="7">
        <v>7</v>
      </c>
      <c r="J237" s="7">
        <v>2.3E-2</v>
      </c>
      <c r="K237" s="7">
        <v>212525.85</v>
      </c>
      <c r="L237" s="7">
        <v>4893.6899999999996</v>
      </c>
      <c r="M237" s="20">
        <v>207632.16</v>
      </c>
    </row>
    <row r="238" spans="3:13" x14ac:dyDescent="0.35">
      <c r="C238" s="19">
        <v>2015</v>
      </c>
      <c r="D238" s="7" t="s">
        <v>58</v>
      </c>
      <c r="E238" s="7" t="s">
        <v>56</v>
      </c>
      <c r="F238" s="7" t="s">
        <v>60</v>
      </c>
      <c r="G238" s="7" t="s">
        <v>2</v>
      </c>
      <c r="H238" s="7">
        <v>321</v>
      </c>
      <c r="I238" s="7">
        <v>5</v>
      </c>
      <c r="J238" s="7">
        <v>1.5599999999999999E-2</v>
      </c>
      <c r="K238" s="7">
        <v>657760.52</v>
      </c>
      <c r="L238" s="7">
        <v>10245.49</v>
      </c>
      <c r="M238" s="20">
        <v>647515.03</v>
      </c>
    </row>
    <row r="239" spans="3:13" x14ac:dyDescent="0.35">
      <c r="C239" s="19">
        <v>2015</v>
      </c>
      <c r="D239" s="7" t="s">
        <v>61</v>
      </c>
      <c r="E239" s="7" t="s">
        <v>56</v>
      </c>
      <c r="F239" s="7" t="s">
        <v>60</v>
      </c>
      <c r="G239" s="7" t="s">
        <v>2</v>
      </c>
      <c r="H239" s="7">
        <v>178</v>
      </c>
      <c r="I239" s="7">
        <v>5</v>
      </c>
      <c r="J239" s="7">
        <v>2.81E-2</v>
      </c>
      <c r="K239" s="7">
        <v>600748.22</v>
      </c>
      <c r="L239" s="7">
        <v>16999.95</v>
      </c>
      <c r="M239" s="20">
        <v>583748.27</v>
      </c>
    </row>
    <row r="240" spans="3:13" x14ac:dyDescent="0.35">
      <c r="C240" s="19">
        <v>2015</v>
      </c>
      <c r="D240" s="7" t="s">
        <v>62</v>
      </c>
      <c r="E240" s="7" t="s">
        <v>63</v>
      </c>
      <c r="F240" s="7" t="s">
        <v>6</v>
      </c>
      <c r="G240" s="7" t="s">
        <v>2</v>
      </c>
      <c r="H240" s="7">
        <v>222</v>
      </c>
      <c r="I240" s="7">
        <v>4</v>
      </c>
      <c r="J240" s="7">
        <v>1.7999999999999999E-2</v>
      </c>
      <c r="K240" s="7">
        <v>222097.12</v>
      </c>
      <c r="L240" s="7">
        <v>4001.75</v>
      </c>
      <c r="M240" s="20">
        <v>218095.37</v>
      </c>
    </row>
    <row r="241" spans="3:13" x14ac:dyDescent="0.35">
      <c r="C241" s="19">
        <v>2016</v>
      </c>
      <c r="D241" s="7" t="s">
        <v>64</v>
      </c>
      <c r="E241" s="7" t="s">
        <v>28</v>
      </c>
      <c r="F241" s="7" t="s">
        <v>12</v>
      </c>
      <c r="G241" s="7" t="s">
        <v>3</v>
      </c>
      <c r="H241" s="7">
        <v>5840</v>
      </c>
      <c r="I241" s="7">
        <v>102</v>
      </c>
      <c r="J241" s="7">
        <v>1.7500000000000002E-2</v>
      </c>
      <c r="K241" s="7">
        <v>29141.599999999999</v>
      </c>
      <c r="L241" s="7">
        <v>508.98</v>
      </c>
      <c r="M241" s="20">
        <v>28632.62</v>
      </c>
    </row>
    <row r="242" spans="3:13" x14ac:dyDescent="0.35">
      <c r="C242" s="19">
        <v>2016</v>
      </c>
      <c r="D242" s="7" t="s">
        <v>65</v>
      </c>
      <c r="E242" s="7" t="s">
        <v>28</v>
      </c>
      <c r="F242" s="7" t="s">
        <v>14</v>
      </c>
      <c r="G242" s="7" t="s">
        <v>3</v>
      </c>
      <c r="H242" s="7">
        <v>3247</v>
      </c>
      <c r="I242" s="7">
        <v>63</v>
      </c>
      <c r="J242" s="7">
        <v>1.9400000000000001E-2</v>
      </c>
      <c r="K242" s="7">
        <v>16202.53</v>
      </c>
      <c r="L242" s="7">
        <v>314.37</v>
      </c>
      <c r="M242" s="20">
        <v>15888.16</v>
      </c>
    </row>
    <row r="243" spans="3:13" x14ac:dyDescent="0.35">
      <c r="C243" s="19">
        <v>2016</v>
      </c>
      <c r="D243" s="7" t="s">
        <v>66</v>
      </c>
      <c r="E243" s="7" t="s">
        <v>28</v>
      </c>
      <c r="F243" s="7" t="s">
        <v>12</v>
      </c>
      <c r="G243" s="7" t="s">
        <v>3</v>
      </c>
      <c r="H243" s="7">
        <v>2534</v>
      </c>
      <c r="I243" s="7">
        <v>58</v>
      </c>
      <c r="J243" s="7">
        <v>2.29E-2</v>
      </c>
      <c r="K243" s="7">
        <v>25314.66</v>
      </c>
      <c r="L243" s="7">
        <v>579.41999999999996</v>
      </c>
      <c r="M243" s="20">
        <v>24735.24</v>
      </c>
    </row>
    <row r="244" spans="3:13" x14ac:dyDescent="0.35">
      <c r="C244" s="19">
        <v>2016</v>
      </c>
      <c r="D244" s="7" t="s">
        <v>67</v>
      </c>
      <c r="E244" s="7" t="s">
        <v>28</v>
      </c>
      <c r="F244" s="7" t="s">
        <v>14</v>
      </c>
      <c r="G244" s="7" t="s">
        <v>3</v>
      </c>
      <c r="H244" s="7">
        <v>5517</v>
      </c>
      <c r="I244" s="7">
        <v>53</v>
      </c>
      <c r="J244" s="7">
        <v>9.5999999999999992E-3</v>
      </c>
      <c r="K244" s="7">
        <v>12633.93</v>
      </c>
      <c r="L244" s="7">
        <v>121.37</v>
      </c>
      <c r="M244" s="20">
        <v>12512.56</v>
      </c>
    </row>
    <row r="245" spans="3:13" x14ac:dyDescent="0.35">
      <c r="C245" s="19">
        <v>2016</v>
      </c>
      <c r="D245" s="7" t="s">
        <v>58</v>
      </c>
      <c r="E245" s="7" t="s">
        <v>56</v>
      </c>
      <c r="F245" s="7" t="s">
        <v>60</v>
      </c>
      <c r="G245" s="7" t="s">
        <v>2</v>
      </c>
      <c r="H245" s="7">
        <v>1268</v>
      </c>
      <c r="I245" s="7">
        <v>49</v>
      </c>
      <c r="J245" s="7">
        <v>3.8600000000000002E-2</v>
      </c>
      <c r="K245" s="7">
        <v>2598256.52</v>
      </c>
      <c r="L245" s="7">
        <v>100405.81</v>
      </c>
      <c r="M245" s="20">
        <v>2497850.71</v>
      </c>
    </row>
    <row r="246" spans="3:13" x14ac:dyDescent="0.35">
      <c r="C246" s="19">
        <v>2016</v>
      </c>
      <c r="D246" s="7" t="s">
        <v>68</v>
      </c>
      <c r="E246" s="7" t="s">
        <v>28</v>
      </c>
      <c r="F246" s="7" t="s">
        <v>14</v>
      </c>
      <c r="G246" s="7" t="s">
        <v>3</v>
      </c>
      <c r="H246" s="7">
        <v>2601</v>
      </c>
      <c r="I246" s="7">
        <v>47</v>
      </c>
      <c r="J246" s="7">
        <v>1.8100000000000002E-2</v>
      </c>
      <c r="K246" s="7">
        <v>10377.99</v>
      </c>
      <c r="L246" s="7">
        <v>187.53</v>
      </c>
      <c r="M246" s="20">
        <v>10190.459999999999</v>
      </c>
    </row>
    <row r="247" spans="3:13" x14ac:dyDescent="0.35">
      <c r="C247" s="19">
        <v>2016</v>
      </c>
      <c r="D247" s="7" t="s">
        <v>69</v>
      </c>
      <c r="E247" s="7" t="s">
        <v>54</v>
      </c>
      <c r="F247" s="7" t="s">
        <v>16</v>
      </c>
      <c r="G247" s="7" t="s">
        <v>3</v>
      </c>
      <c r="H247" s="7">
        <v>3699</v>
      </c>
      <c r="I247" s="7">
        <v>45</v>
      </c>
      <c r="J247" s="7">
        <v>1.2200000000000001E-2</v>
      </c>
      <c r="K247" s="7">
        <v>129428.01</v>
      </c>
      <c r="L247" s="7">
        <v>1513.99</v>
      </c>
      <c r="M247" s="20">
        <v>127914.02</v>
      </c>
    </row>
    <row r="248" spans="3:13" x14ac:dyDescent="0.35">
      <c r="C248" s="19">
        <v>2016</v>
      </c>
      <c r="D248" s="7" t="s">
        <v>69</v>
      </c>
      <c r="E248" s="7" t="s">
        <v>70</v>
      </c>
      <c r="F248" s="7" t="s">
        <v>16</v>
      </c>
      <c r="G248" s="7" t="s">
        <v>3</v>
      </c>
      <c r="H248" s="7">
        <v>3535</v>
      </c>
      <c r="I248" s="7">
        <v>44</v>
      </c>
      <c r="J248" s="7">
        <v>1.24E-2</v>
      </c>
      <c r="K248" s="7">
        <v>118932.25</v>
      </c>
      <c r="L248" s="7">
        <v>1539.56</v>
      </c>
      <c r="M248" s="20">
        <v>117392.69</v>
      </c>
    </row>
    <row r="249" spans="3:13" x14ac:dyDescent="0.35">
      <c r="C249" s="19">
        <v>2016</v>
      </c>
      <c r="D249" s="7" t="s">
        <v>69</v>
      </c>
      <c r="E249" s="7" t="s">
        <v>56</v>
      </c>
      <c r="F249" s="7" t="s">
        <v>16</v>
      </c>
      <c r="G249" s="7" t="s">
        <v>3</v>
      </c>
      <c r="H249" s="7">
        <v>3568</v>
      </c>
      <c r="I249" s="7">
        <v>37</v>
      </c>
      <c r="J249" s="7">
        <v>1.04E-2</v>
      </c>
      <c r="K249" s="7">
        <v>120042.51</v>
      </c>
      <c r="L249" s="7">
        <v>1244.8399999999999</v>
      </c>
      <c r="M249" s="20">
        <v>118797.67</v>
      </c>
    </row>
    <row r="250" spans="3:13" x14ac:dyDescent="0.35">
      <c r="C250" s="19">
        <v>2016</v>
      </c>
      <c r="D250" s="7" t="s">
        <v>62</v>
      </c>
      <c r="E250" s="7" t="s">
        <v>63</v>
      </c>
      <c r="F250" s="7" t="s">
        <v>6</v>
      </c>
      <c r="G250" s="7" t="s">
        <v>2</v>
      </c>
      <c r="H250" s="7">
        <v>907</v>
      </c>
      <c r="I250" s="7">
        <v>35</v>
      </c>
      <c r="J250" s="7">
        <v>3.8600000000000002E-2</v>
      </c>
      <c r="K250" s="7">
        <v>907396.81</v>
      </c>
      <c r="L250" s="7">
        <v>35015.31</v>
      </c>
      <c r="M250" s="20">
        <v>872381.5</v>
      </c>
    </row>
    <row r="251" spans="3:13" ht="29" x14ac:dyDescent="0.35">
      <c r="C251" s="19">
        <v>2016</v>
      </c>
      <c r="D251" s="7" t="s">
        <v>71</v>
      </c>
      <c r="E251" s="7" t="s">
        <v>72</v>
      </c>
      <c r="F251" s="7" t="s">
        <v>73</v>
      </c>
      <c r="G251" s="7" t="s">
        <v>21</v>
      </c>
      <c r="H251" s="7">
        <v>2737</v>
      </c>
      <c r="I251" s="7">
        <v>34</v>
      </c>
      <c r="J251" s="7">
        <v>1.24E-2</v>
      </c>
      <c r="K251" s="7">
        <v>131560.20000000001</v>
      </c>
      <c r="L251" s="7">
        <v>1634.29</v>
      </c>
      <c r="M251" s="20">
        <v>129925.91</v>
      </c>
    </row>
    <row r="252" spans="3:13" x14ac:dyDescent="0.35">
      <c r="C252" s="19">
        <v>2016</v>
      </c>
      <c r="D252" s="7" t="s">
        <v>74</v>
      </c>
      <c r="E252" s="7" t="s">
        <v>28</v>
      </c>
      <c r="F252" s="7" t="s">
        <v>12</v>
      </c>
      <c r="G252" s="7" t="s">
        <v>3</v>
      </c>
      <c r="H252" s="7">
        <v>2595</v>
      </c>
      <c r="I252" s="7">
        <v>34</v>
      </c>
      <c r="J252" s="7">
        <v>1.3100000000000001E-2</v>
      </c>
      <c r="K252" s="7">
        <v>23329.05</v>
      </c>
      <c r="L252" s="7">
        <v>305.66000000000003</v>
      </c>
      <c r="M252" s="20">
        <v>23023.39</v>
      </c>
    </row>
    <row r="253" spans="3:13" x14ac:dyDescent="0.35">
      <c r="C253" s="19">
        <v>2016</v>
      </c>
      <c r="D253" s="7" t="s">
        <v>75</v>
      </c>
      <c r="E253" s="7" t="s">
        <v>72</v>
      </c>
      <c r="F253" s="7" t="s">
        <v>20</v>
      </c>
      <c r="G253" s="7" t="s">
        <v>21</v>
      </c>
      <c r="H253" s="7">
        <v>3392</v>
      </c>
      <c r="I253" s="7">
        <v>30</v>
      </c>
      <c r="J253" s="7">
        <v>8.8000000000000005E-3</v>
      </c>
      <c r="K253" s="7">
        <v>29321.13</v>
      </c>
      <c r="L253" s="7">
        <v>259.33</v>
      </c>
      <c r="M253" s="20">
        <v>29061.8</v>
      </c>
    </row>
    <row r="254" spans="3:13" x14ac:dyDescent="0.35">
      <c r="C254" s="19">
        <v>2016</v>
      </c>
      <c r="D254" s="7" t="s">
        <v>76</v>
      </c>
      <c r="E254" s="7" t="s">
        <v>56</v>
      </c>
      <c r="F254" s="7" t="s">
        <v>77</v>
      </c>
      <c r="G254" s="7" t="s">
        <v>21</v>
      </c>
      <c r="H254" s="7">
        <v>2476</v>
      </c>
      <c r="I254" s="7">
        <v>30</v>
      </c>
      <c r="J254" s="7">
        <v>1.21E-2</v>
      </c>
      <c r="K254" s="7">
        <v>58305.1</v>
      </c>
      <c r="L254" s="7">
        <v>706.44</v>
      </c>
      <c r="M254" s="20">
        <v>57598.66</v>
      </c>
    </row>
    <row r="255" spans="3:13" x14ac:dyDescent="0.35">
      <c r="C255" s="19">
        <v>2016</v>
      </c>
      <c r="D255" s="7" t="s">
        <v>78</v>
      </c>
      <c r="E255" s="7" t="s">
        <v>56</v>
      </c>
      <c r="F255" s="7" t="s">
        <v>6</v>
      </c>
      <c r="G255" s="7" t="s">
        <v>2</v>
      </c>
      <c r="H255" s="7">
        <v>937</v>
      </c>
      <c r="I255" s="7">
        <v>30</v>
      </c>
      <c r="J255" s="7">
        <v>3.2000000000000001E-2</v>
      </c>
      <c r="K255" s="7">
        <v>505970.63</v>
      </c>
      <c r="L255" s="7">
        <v>16199.7</v>
      </c>
      <c r="M255" s="20">
        <v>489770.93</v>
      </c>
    </row>
    <row r="256" spans="3:13" x14ac:dyDescent="0.35">
      <c r="C256" s="19">
        <v>2016</v>
      </c>
      <c r="D256" s="7" t="s">
        <v>79</v>
      </c>
      <c r="E256" s="7" t="s">
        <v>28</v>
      </c>
      <c r="F256" s="7" t="s">
        <v>14</v>
      </c>
      <c r="G256" s="7" t="s">
        <v>3</v>
      </c>
      <c r="H256" s="7">
        <v>1026</v>
      </c>
      <c r="I256" s="7">
        <v>29</v>
      </c>
      <c r="J256" s="7">
        <v>2.8299999999999999E-2</v>
      </c>
      <c r="K256" s="7">
        <v>33447.599999999999</v>
      </c>
      <c r="L256" s="7">
        <v>945.4</v>
      </c>
      <c r="M256" s="20">
        <v>32502.2</v>
      </c>
    </row>
    <row r="257" spans="3:13" x14ac:dyDescent="0.35">
      <c r="C257" s="19">
        <v>2016</v>
      </c>
      <c r="D257" s="7" t="s">
        <v>80</v>
      </c>
      <c r="E257" s="7" t="s">
        <v>28</v>
      </c>
      <c r="F257" s="7" t="s">
        <v>14</v>
      </c>
      <c r="G257" s="7" t="s">
        <v>3</v>
      </c>
      <c r="H257" s="7">
        <v>1538</v>
      </c>
      <c r="I257" s="7">
        <v>29</v>
      </c>
      <c r="J257" s="7">
        <v>1.89E-2</v>
      </c>
      <c r="K257" s="7">
        <v>53830</v>
      </c>
      <c r="L257" s="7">
        <v>1015</v>
      </c>
      <c r="M257" s="20">
        <v>52815</v>
      </c>
    </row>
    <row r="258" spans="3:13" x14ac:dyDescent="0.35">
      <c r="C258" s="19">
        <v>2016</v>
      </c>
      <c r="D258" s="7" t="s">
        <v>81</v>
      </c>
      <c r="E258" s="7" t="s">
        <v>28</v>
      </c>
      <c r="F258" s="7" t="s">
        <v>14</v>
      </c>
      <c r="G258" s="7" t="s">
        <v>3</v>
      </c>
      <c r="H258" s="7">
        <v>1421</v>
      </c>
      <c r="I258" s="7">
        <v>28</v>
      </c>
      <c r="J258" s="7">
        <v>1.9699999999999999E-2</v>
      </c>
      <c r="K258" s="7">
        <v>7090.79</v>
      </c>
      <c r="L258" s="7">
        <v>139.72</v>
      </c>
      <c r="M258" s="20">
        <v>6951.07</v>
      </c>
    </row>
    <row r="259" spans="3:13" x14ac:dyDescent="0.35">
      <c r="C259" s="19">
        <v>2016</v>
      </c>
      <c r="D259" s="7" t="s">
        <v>82</v>
      </c>
      <c r="E259" s="7" t="s">
        <v>28</v>
      </c>
      <c r="F259" s="7" t="s">
        <v>14</v>
      </c>
      <c r="G259" s="7" t="s">
        <v>3</v>
      </c>
      <c r="H259" s="7">
        <v>789</v>
      </c>
      <c r="I259" s="7">
        <v>28</v>
      </c>
      <c r="J259" s="7">
        <v>3.5499999999999997E-2</v>
      </c>
      <c r="K259" s="7">
        <v>19717.11</v>
      </c>
      <c r="L259" s="7">
        <v>699.72</v>
      </c>
      <c r="M259" s="20">
        <v>19017.39</v>
      </c>
    </row>
    <row r="260" spans="3:13" x14ac:dyDescent="0.35">
      <c r="C260" s="19">
        <v>2016</v>
      </c>
      <c r="D260" s="7" t="s">
        <v>83</v>
      </c>
      <c r="E260" s="7" t="s">
        <v>28</v>
      </c>
      <c r="F260" s="7" t="s">
        <v>14</v>
      </c>
      <c r="G260" s="7" t="s">
        <v>3</v>
      </c>
      <c r="H260" s="7">
        <v>1118</v>
      </c>
      <c r="I260" s="7">
        <v>27</v>
      </c>
      <c r="J260" s="7">
        <v>2.4199999999999999E-2</v>
      </c>
      <c r="K260" s="7">
        <v>24025.82</v>
      </c>
      <c r="L260" s="7">
        <v>580.23</v>
      </c>
      <c r="M260" s="20">
        <v>23445.59</v>
      </c>
    </row>
    <row r="261" spans="3:13" x14ac:dyDescent="0.35">
      <c r="C261" s="19">
        <v>2016</v>
      </c>
      <c r="D261" s="7" t="s">
        <v>84</v>
      </c>
      <c r="E261" s="7" t="s">
        <v>28</v>
      </c>
      <c r="F261" s="7" t="s">
        <v>85</v>
      </c>
      <c r="G261" s="7" t="s">
        <v>3</v>
      </c>
      <c r="H261" s="7">
        <v>2414</v>
      </c>
      <c r="I261" s="7">
        <v>26</v>
      </c>
      <c r="J261" s="7">
        <v>1.0800000000000001E-2</v>
      </c>
      <c r="K261" s="7">
        <v>53059.72</v>
      </c>
      <c r="L261" s="7">
        <v>571.48</v>
      </c>
      <c r="M261" s="20">
        <v>52488.24</v>
      </c>
    </row>
    <row r="262" spans="3:13" x14ac:dyDescent="0.35">
      <c r="C262" s="19">
        <v>2016</v>
      </c>
      <c r="D262" s="7" t="s">
        <v>55</v>
      </c>
      <c r="E262" s="7" t="s">
        <v>56</v>
      </c>
      <c r="F262" s="7" t="s">
        <v>6</v>
      </c>
      <c r="G262" s="7" t="s">
        <v>2</v>
      </c>
      <c r="H262" s="7">
        <v>875</v>
      </c>
      <c r="I262" s="7">
        <v>24</v>
      </c>
      <c r="J262" s="7">
        <v>2.7400000000000001E-2</v>
      </c>
      <c r="K262" s="7">
        <v>1908867.19</v>
      </c>
      <c r="L262" s="7">
        <v>55237.16</v>
      </c>
      <c r="M262" s="20">
        <v>1853630.03</v>
      </c>
    </row>
    <row r="263" spans="3:13" ht="29" x14ac:dyDescent="0.35">
      <c r="C263" s="19">
        <v>2016</v>
      </c>
      <c r="D263" s="7" t="s">
        <v>86</v>
      </c>
      <c r="E263" s="7" t="s">
        <v>63</v>
      </c>
      <c r="F263" s="7" t="s">
        <v>73</v>
      </c>
      <c r="G263" s="7" t="s">
        <v>21</v>
      </c>
      <c r="H263" s="7">
        <v>2658</v>
      </c>
      <c r="I263" s="7">
        <v>23</v>
      </c>
      <c r="J263" s="7">
        <v>8.6999999999999994E-3</v>
      </c>
      <c r="K263" s="7">
        <v>143505.42000000001</v>
      </c>
      <c r="L263" s="7">
        <v>1241.77</v>
      </c>
      <c r="M263" s="20">
        <v>142263.65</v>
      </c>
    </row>
    <row r="264" spans="3:13" x14ac:dyDescent="0.35">
      <c r="C264" s="19">
        <v>2016</v>
      </c>
      <c r="D264" s="7" t="s">
        <v>58</v>
      </c>
      <c r="E264" s="7" t="s">
        <v>59</v>
      </c>
      <c r="F264" s="7" t="s">
        <v>60</v>
      </c>
      <c r="G264" s="7" t="s">
        <v>2</v>
      </c>
      <c r="H264" s="7">
        <v>1220</v>
      </c>
      <c r="I264" s="7">
        <v>22</v>
      </c>
      <c r="J264" s="7">
        <v>1.7999999999999999E-2</v>
      </c>
      <c r="K264" s="7">
        <v>2527131.91</v>
      </c>
      <c r="L264" s="7">
        <v>45571.23</v>
      </c>
      <c r="M264" s="20">
        <v>2481560.6800000002</v>
      </c>
    </row>
    <row r="265" spans="3:13" ht="29" x14ac:dyDescent="0.35">
      <c r="C265" s="19">
        <v>2016</v>
      </c>
      <c r="D265" s="7" t="s">
        <v>87</v>
      </c>
      <c r="E265" s="7" t="s">
        <v>56</v>
      </c>
      <c r="F265" s="7" t="s">
        <v>88</v>
      </c>
      <c r="G265" s="7" t="s">
        <v>21</v>
      </c>
      <c r="H265" s="7">
        <v>819</v>
      </c>
      <c r="I265" s="7">
        <v>22</v>
      </c>
      <c r="J265" s="7">
        <v>2.69E-2</v>
      </c>
      <c r="K265" s="7">
        <v>57321.81</v>
      </c>
      <c r="L265" s="7">
        <v>1539.78</v>
      </c>
      <c r="M265" s="20">
        <v>55782.03</v>
      </c>
    </row>
    <row r="266" spans="3:13" x14ac:dyDescent="0.35">
      <c r="C266" s="19">
        <v>2016</v>
      </c>
      <c r="D266" s="7" t="s">
        <v>55</v>
      </c>
      <c r="E266" s="7" t="s">
        <v>54</v>
      </c>
      <c r="F266" s="7" t="s">
        <v>6</v>
      </c>
      <c r="G266" s="7" t="s">
        <v>2</v>
      </c>
      <c r="H266" s="7">
        <v>467</v>
      </c>
      <c r="I266" s="7">
        <v>21</v>
      </c>
      <c r="J266" s="7">
        <v>4.4999999999999998E-2</v>
      </c>
      <c r="K266" s="7">
        <v>1089734.1000000001</v>
      </c>
      <c r="L266" s="7">
        <v>45812.81</v>
      </c>
      <c r="M266" s="20">
        <v>1043921.29</v>
      </c>
    </row>
    <row r="267" spans="3:13" x14ac:dyDescent="0.35">
      <c r="C267" s="79">
        <v>2016</v>
      </c>
      <c r="D267" s="31" t="s">
        <v>57</v>
      </c>
      <c r="E267" s="31" t="s">
        <v>54</v>
      </c>
      <c r="F267" s="31" t="s">
        <v>6</v>
      </c>
      <c r="G267" s="31" t="s">
        <v>2</v>
      </c>
      <c r="H267" s="31">
        <v>260</v>
      </c>
      <c r="I267" s="31">
        <v>16</v>
      </c>
      <c r="J267" s="31">
        <v>6.1499999999999999E-2</v>
      </c>
      <c r="K267" s="31">
        <v>181765.53</v>
      </c>
      <c r="L267" s="31">
        <v>11185.57</v>
      </c>
      <c r="M267" s="80">
        <v>170579.96</v>
      </c>
    </row>
    <row r="268" spans="3:13" x14ac:dyDescent="0.35">
      <c r="C268" s="19">
        <v>2016</v>
      </c>
      <c r="D268" s="7" t="s">
        <v>89</v>
      </c>
      <c r="E268" s="7" t="s">
        <v>28</v>
      </c>
      <c r="F268" s="7" t="s">
        <v>90</v>
      </c>
      <c r="G268" s="7" t="s">
        <v>3</v>
      </c>
      <c r="H268" s="7">
        <v>1660</v>
      </c>
      <c r="I268" s="7">
        <v>15</v>
      </c>
      <c r="J268" s="7">
        <v>8.9999999999999993E-3</v>
      </c>
      <c r="K268" s="7">
        <v>13197</v>
      </c>
      <c r="L268" s="7">
        <v>119.25</v>
      </c>
      <c r="M268" s="20">
        <v>13077.75</v>
      </c>
    </row>
    <row r="269" spans="3:13" x14ac:dyDescent="0.35">
      <c r="C269" s="19">
        <v>2016</v>
      </c>
      <c r="D269" s="7" t="s">
        <v>91</v>
      </c>
      <c r="E269" s="7" t="s">
        <v>28</v>
      </c>
      <c r="F269" s="7" t="s">
        <v>14</v>
      </c>
      <c r="G269" s="7" t="s">
        <v>3</v>
      </c>
      <c r="H269" s="7">
        <v>1052</v>
      </c>
      <c r="I269" s="7">
        <v>15</v>
      </c>
      <c r="J269" s="7">
        <v>1.43E-2</v>
      </c>
      <c r="K269" s="7">
        <v>31549.48</v>
      </c>
      <c r="L269" s="7">
        <v>449.85</v>
      </c>
      <c r="M269" s="20">
        <v>31099.63</v>
      </c>
    </row>
    <row r="270" spans="3:13" x14ac:dyDescent="0.35">
      <c r="C270" s="19">
        <v>2016</v>
      </c>
      <c r="D270" s="7" t="s">
        <v>92</v>
      </c>
      <c r="E270" s="7" t="s">
        <v>28</v>
      </c>
      <c r="F270" s="7" t="s">
        <v>14</v>
      </c>
      <c r="G270" s="7" t="s">
        <v>3</v>
      </c>
      <c r="H270" s="7">
        <v>994</v>
      </c>
      <c r="I270" s="7">
        <v>14</v>
      </c>
      <c r="J270" s="7">
        <v>1.41E-2</v>
      </c>
      <c r="K270" s="7">
        <v>24840.06</v>
      </c>
      <c r="L270" s="7">
        <v>349.86</v>
      </c>
      <c r="M270" s="20">
        <v>24490.2</v>
      </c>
    </row>
    <row r="271" spans="3:13" x14ac:dyDescent="0.35">
      <c r="C271" s="19">
        <v>2016</v>
      </c>
      <c r="D271" s="7" t="s">
        <v>93</v>
      </c>
      <c r="E271" s="7" t="s">
        <v>59</v>
      </c>
      <c r="F271" s="7" t="s">
        <v>94</v>
      </c>
      <c r="G271" s="7" t="s">
        <v>3</v>
      </c>
      <c r="H271" s="7">
        <v>1295</v>
      </c>
      <c r="I271" s="7">
        <v>14</v>
      </c>
      <c r="J271" s="7">
        <v>1.0800000000000001E-2</v>
      </c>
      <c r="K271" s="7">
        <v>71212.05</v>
      </c>
      <c r="L271" s="7">
        <v>769.86</v>
      </c>
      <c r="M271" s="20">
        <v>70442.19</v>
      </c>
    </row>
    <row r="272" spans="3:13" x14ac:dyDescent="0.35">
      <c r="C272" s="19">
        <v>2016</v>
      </c>
      <c r="D272" s="7" t="s">
        <v>95</v>
      </c>
      <c r="E272" s="7" t="s">
        <v>96</v>
      </c>
      <c r="F272" s="7" t="s">
        <v>97</v>
      </c>
      <c r="G272" s="7" t="s">
        <v>21</v>
      </c>
      <c r="H272" s="7">
        <v>1026</v>
      </c>
      <c r="I272" s="7">
        <v>13</v>
      </c>
      <c r="J272" s="7">
        <v>1.2699999999999999E-2</v>
      </c>
      <c r="K272" s="7">
        <v>9223.74</v>
      </c>
      <c r="L272" s="7">
        <v>116.87</v>
      </c>
      <c r="M272" s="20">
        <v>9106.8700000000008</v>
      </c>
    </row>
    <row r="273" spans="3:13" x14ac:dyDescent="0.35">
      <c r="C273" s="19">
        <v>2016</v>
      </c>
      <c r="D273" s="7" t="s">
        <v>98</v>
      </c>
      <c r="E273" s="7" t="s">
        <v>28</v>
      </c>
      <c r="F273" s="7" t="s">
        <v>14</v>
      </c>
      <c r="G273" s="7" t="s">
        <v>3</v>
      </c>
      <c r="H273" s="7">
        <v>806</v>
      </c>
      <c r="I273" s="7">
        <v>12</v>
      </c>
      <c r="J273" s="7">
        <v>1.49E-2</v>
      </c>
      <c r="K273" s="7">
        <v>23365.94</v>
      </c>
      <c r="L273" s="7">
        <v>347.88</v>
      </c>
      <c r="M273" s="20">
        <v>23018.06</v>
      </c>
    </row>
    <row r="274" spans="3:13" x14ac:dyDescent="0.35">
      <c r="C274" s="19">
        <v>2016</v>
      </c>
      <c r="D274" s="7" t="s">
        <v>99</v>
      </c>
      <c r="E274" s="7" t="s">
        <v>63</v>
      </c>
      <c r="F274" s="7" t="s">
        <v>6</v>
      </c>
      <c r="G274" s="7" t="s">
        <v>2</v>
      </c>
      <c r="H274" s="7">
        <v>474</v>
      </c>
      <c r="I274" s="7">
        <v>12</v>
      </c>
      <c r="J274" s="7">
        <v>2.53E-2</v>
      </c>
      <c r="K274" s="7">
        <v>806269.26</v>
      </c>
      <c r="L274" s="7">
        <v>20411.88</v>
      </c>
      <c r="M274" s="20">
        <v>785857.38</v>
      </c>
    </row>
    <row r="275" spans="3:13" x14ac:dyDescent="0.35">
      <c r="C275" s="19">
        <v>2016</v>
      </c>
      <c r="D275" s="7" t="s">
        <v>100</v>
      </c>
      <c r="E275" s="7" t="s">
        <v>59</v>
      </c>
      <c r="F275" s="7" t="s">
        <v>60</v>
      </c>
      <c r="G275" s="7" t="s">
        <v>2</v>
      </c>
      <c r="H275" s="7">
        <v>309</v>
      </c>
      <c r="I275" s="7">
        <v>9</v>
      </c>
      <c r="J275" s="7">
        <v>2.9100000000000001E-2</v>
      </c>
      <c r="K275" s="7">
        <v>237772.41</v>
      </c>
      <c r="L275" s="7">
        <v>6925.41</v>
      </c>
      <c r="M275" s="20">
        <v>230847</v>
      </c>
    </row>
    <row r="276" spans="3:13" x14ac:dyDescent="0.35">
      <c r="C276" s="19">
        <v>2016</v>
      </c>
      <c r="D276" s="7" t="s">
        <v>101</v>
      </c>
      <c r="E276" s="7" t="s">
        <v>70</v>
      </c>
      <c r="F276" s="7" t="s">
        <v>102</v>
      </c>
      <c r="G276" s="7" t="s">
        <v>2</v>
      </c>
      <c r="H276" s="7">
        <v>353</v>
      </c>
      <c r="I276" s="7">
        <v>9</v>
      </c>
      <c r="J276" s="7">
        <v>2.5499999999999998E-2</v>
      </c>
      <c r="K276" s="7">
        <v>841576.71</v>
      </c>
      <c r="L276" s="7">
        <v>21456.63</v>
      </c>
      <c r="M276" s="20">
        <v>820120.08</v>
      </c>
    </row>
    <row r="277" spans="3:13" x14ac:dyDescent="0.35">
      <c r="C277" s="19">
        <v>2016</v>
      </c>
      <c r="D277" s="7" t="s">
        <v>101</v>
      </c>
      <c r="E277" s="7" t="s">
        <v>63</v>
      </c>
      <c r="F277" s="7" t="s">
        <v>102</v>
      </c>
      <c r="G277" s="7" t="s">
        <v>2</v>
      </c>
      <c r="H277" s="7">
        <v>330</v>
      </c>
      <c r="I277" s="7">
        <v>7</v>
      </c>
      <c r="J277" s="7">
        <v>2.12E-2</v>
      </c>
      <c r="K277" s="7">
        <v>786743.1</v>
      </c>
      <c r="L277" s="7">
        <v>16688.490000000002</v>
      </c>
      <c r="M277" s="20">
        <v>770054.61</v>
      </c>
    </row>
    <row r="278" spans="3:13" x14ac:dyDescent="0.35">
      <c r="C278" s="19">
        <v>2016</v>
      </c>
      <c r="D278" s="7" t="s">
        <v>103</v>
      </c>
      <c r="E278" s="7" t="s">
        <v>28</v>
      </c>
      <c r="F278" s="7" t="s">
        <v>104</v>
      </c>
      <c r="G278" s="7" t="s">
        <v>3</v>
      </c>
      <c r="H278" s="7">
        <v>559</v>
      </c>
      <c r="I278" s="7">
        <v>6</v>
      </c>
      <c r="J278" s="7">
        <v>1.0699999999999999E-2</v>
      </c>
      <c r="K278" s="7">
        <v>88881</v>
      </c>
      <c r="L278" s="7">
        <v>954</v>
      </c>
      <c r="M278" s="20">
        <v>87927</v>
      </c>
    </row>
    <row r="279" spans="3:13" x14ac:dyDescent="0.35">
      <c r="C279" s="19">
        <v>2016</v>
      </c>
      <c r="D279" s="7" t="s">
        <v>105</v>
      </c>
      <c r="E279" s="7" t="s">
        <v>70</v>
      </c>
      <c r="F279" s="7" t="s">
        <v>102</v>
      </c>
      <c r="G279" s="7" t="s">
        <v>2</v>
      </c>
      <c r="H279" s="7">
        <v>259</v>
      </c>
      <c r="I279" s="7">
        <v>6</v>
      </c>
      <c r="J279" s="7">
        <v>2.3199999999999998E-2</v>
      </c>
      <c r="K279" s="7">
        <v>314646.15000000002</v>
      </c>
      <c r="L279" s="7">
        <v>7289.1</v>
      </c>
      <c r="M279" s="20">
        <v>307357.05</v>
      </c>
    </row>
    <row r="280" spans="3:13" x14ac:dyDescent="0.35">
      <c r="C280" s="19">
        <v>2016</v>
      </c>
      <c r="D280" s="7" t="s">
        <v>106</v>
      </c>
      <c r="E280" s="7" t="s">
        <v>59</v>
      </c>
      <c r="F280" s="7" t="s">
        <v>60</v>
      </c>
      <c r="G280" s="7" t="s">
        <v>2</v>
      </c>
      <c r="H280" s="7">
        <v>140</v>
      </c>
      <c r="I280" s="7">
        <v>6</v>
      </c>
      <c r="J280" s="7">
        <v>4.2900000000000001E-2</v>
      </c>
      <c r="K280" s="7">
        <v>79098.600000000006</v>
      </c>
      <c r="L280" s="7">
        <v>3239.94</v>
      </c>
      <c r="M280" s="20">
        <v>75858.66</v>
      </c>
    </row>
    <row r="281" spans="3:13" x14ac:dyDescent="0.35">
      <c r="C281" s="19">
        <v>2016</v>
      </c>
      <c r="D281" s="7" t="s">
        <v>107</v>
      </c>
      <c r="E281" s="7" t="s">
        <v>70</v>
      </c>
      <c r="F281" s="7" t="s">
        <v>108</v>
      </c>
      <c r="G281" s="7" t="s">
        <v>21</v>
      </c>
      <c r="H281" s="7">
        <v>856</v>
      </c>
      <c r="I281" s="7">
        <v>5</v>
      </c>
      <c r="J281" s="7">
        <v>5.7999999999999996E-3</v>
      </c>
      <c r="K281" s="7">
        <v>54356</v>
      </c>
      <c r="L281" s="7">
        <v>317.5</v>
      </c>
      <c r="M281" s="20">
        <v>54038.5</v>
      </c>
    </row>
    <row r="282" spans="3:13" x14ac:dyDescent="0.35">
      <c r="C282" s="19">
        <v>2016</v>
      </c>
      <c r="D282" s="7" t="s">
        <v>109</v>
      </c>
      <c r="E282" s="7" t="s">
        <v>70</v>
      </c>
      <c r="F282" s="7" t="s">
        <v>102</v>
      </c>
      <c r="G282" s="7" t="s">
        <v>2</v>
      </c>
      <c r="H282" s="7">
        <v>183</v>
      </c>
      <c r="I282" s="7">
        <v>4</v>
      </c>
      <c r="J282" s="7">
        <v>2.1899999999999999E-2</v>
      </c>
      <c r="K282" s="7">
        <v>135850.04999999999</v>
      </c>
      <c r="L282" s="7">
        <v>2969.4</v>
      </c>
      <c r="M282" s="20">
        <v>132880.65</v>
      </c>
    </row>
    <row r="283" spans="3:13" x14ac:dyDescent="0.35">
      <c r="C283" s="19">
        <v>2016</v>
      </c>
      <c r="D283" s="7" t="s">
        <v>110</v>
      </c>
      <c r="E283" s="7" t="s">
        <v>28</v>
      </c>
      <c r="F283" s="7" t="s">
        <v>111</v>
      </c>
      <c r="G283" s="7" t="s">
        <v>3</v>
      </c>
      <c r="H283" s="7">
        <v>560</v>
      </c>
      <c r="I283" s="7">
        <v>3</v>
      </c>
      <c r="J283" s="7">
        <v>5.4000000000000003E-3</v>
      </c>
      <c r="K283" s="7">
        <v>67200</v>
      </c>
      <c r="L283" s="7">
        <v>360</v>
      </c>
      <c r="M283" s="20">
        <v>66840</v>
      </c>
    </row>
    <row r="284" spans="3:13" x14ac:dyDescent="0.35">
      <c r="C284" s="19">
        <v>2016</v>
      </c>
      <c r="D284" s="7" t="s">
        <v>106</v>
      </c>
      <c r="E284" s="7" t="s">
        <v>56</v>
      </c>
      <c r="F284" s="7" t="s">
        <v>60</v>
      </c>
      <c r="G284" s="7" t="s">
        <v>2</v>
      </c>
      <c r="H284" s="7">
        <v>148</v>
      </c>
      <c r="I284" s="7">
        <v>3</v>
      </c>
      <c r="J284" s="7">
        <v>2.0299999999999999E-2</v>
      </c>
      <c r="K284" s="7">
        <v>79918.52</v>
      </c>
      <c r="L284" s="7">
        <v>1694.97</v>
      </c>
      <c r="M284" s="20">
        <v>78223.55</v>
      </c>
    </row>
    <row r="285" spans="3:13" x14ac:dyDescent="0.35">
      <c r="C285" s="19">
        <v>2016</v>
      </c>
      <c r="D285" s="7" t="s">
        <v>109</v>
      </c>
      <c r="E285" s="7" t="s">
        <v>63</v>
      </c>
      <c r="F285" s="7" t="s">
        <v>102</v>
      </c>
      <c r="G285" s="7" t="s">
        <v>2</v>
      </c>
      <c r="H285" s="7">
        <v>155</v>
      </c>
      <c r="I285" s="7">
        <v>3</v>
      </c>
      <c r="J285" s="7">
        <v>1.9400000000000001E-2</v>
      </c>
      <c r="K285" s="7">
        <v>115064.25</v>
      </c>
      <c r="L285" s="7">
        <v>2227.0500000000002</v>
      </c>
      <c r="M285" s="20">
        <v>112837.2</v>
      </c>
    </row>
    <row r="286" spans="3:13" x14ac:dyDescent="0.35">
      <c r="C286" s="19">
        <v>2016</v>
      </c>
      <c r="D286" s="7" t="s">
        <v>57</v>
      </c>
      <c r="E286" s="7" t="s">
        <v>56</v>
      </c>
      <c r="F286" s="7" t="s">
        <v>6</v>
      </c>
      <c r="G286" s="7" t="s">
        <v>2</v>
      </c>
      <c r="H286" s="7">
        <v>256</v>
      </c>
      <c r="I286" s="7">
        <v>3</v>
      </c>
      <c r="J286" s="7">
        <v>1.17E-2</v>
      </c>
      <c r="K286" s="7">
        <v>178969.14</v>
      </c>
      <c r="L286" s="7">
        <v>2097.29</v>
      </c>
      <c r="M286" s="20">
        <v>176871.85</v>
      </c>
    </row>
    <row r="287" spans="3:13" x14ac:dyDescent="0.35">
      <c r="C287" s="19">
        <v>2017</v>
      </c>
      <c r="D287" s="7" t="s">
        <v>64</v>
      </c>
      <c r="E287" s="7" t="s">
        <v>28</v>
      </c>
      <c r="F287" s="7" t="s">
        <v>12</v>
      </c>
      <c r="G287" s="7" t="s">
        <v>3</v>
      </c>
      <c r="H287" s="7">
        <v>7879</v>
      </c>
      <c r="I287" s="7">
        <v>123</v>
      </c>
      <c r="J287" s="7">
        <v>1.5599999999999999E-2</v>
      </c>
      <c r="K287" s="7">
        <v>39316.21</v>
      </c>
      <c r="L287" s="7">
        <v>613.77</v>
      </c>
      <c r="M287" s="20">
        <v>38702.44</v>
      </c>
    </row>
    <row r="288" spans="3:13" x14ac:dyDescent="0.35">
      <c r="C288" s="19">
        <v>2017</v>
      </c>
      <c r="D288" s="7" t="s">
        <v>67</v>
      </c>
      <c r="E288" s="7" t="s">
        <v>28</v>
      </c>
      <c r="F288" s="7" t="s">
        <v>14</v>
      </c>
      <c r="G288" s="7" t="s">
        <v>3</v>
      </c>
      <c r="H288" s="7">
        <v>6607</v>
      </c>
      <c r="I288" s="7">
        <v>90</v>
      </c>
      <c r="J288" s="7">
        <v>1.3599999999999999E-2</v>
      </c>
      <c r="K288" s="7">
        <v>15130.03</v>
      </c>
      <c r="L288" s="7">
        <v>206.1</v>
      </c>
      <c r="M288" s="20">
        <v>14923.93</v>
      </c>
    </row>
    <row r="289" spans="3:13" x14ac:dyDescent="0.35">
      <c r="C289" s="19">
        <v>2017</v>
      </c>
      <c r="D289" s="7" t="s">
        <v>65</v>
      </c>
      <c r="E289" s="7" t="s">
        <v>28</v>
      </c>
      <c r="F289" s="7" t="s">
        <v>14</v>
      </c>
      <c r="G289" s="7" t="s">
        <v>3</v>
      </c>
      <c r="H289" s="7">
        <v>3969</v>
      </c>
      <c r="I289" s="7">
        <v>75</v>
      </c>
      <c r="J289" s="7">
        <v>1.89E-2</v>
      </c>
      <c r="K289" s="7">
        <v>19805.310000000001</v>
      </c>
      <c r="L289" s="7">
        <v>374.25</v>
      </c>
      <c r="M289" s="20">
        <v>19431.060000000001</v>
      </c>
    </row>
    <row r="290" spans="3:13" x14ac:dyDescent="0.35">
      <c r="C290" s="19">
        <v>2017</v>
      </c>
      <c r="D290" s="7" t="s">
        <v>69</v>
      </c>
      <c r="E290" s="7" t="s">
        <v>54</v>
      </c>
      <c r="F290" s="7" t="s">
        <v>16</v>
      </c>
      <c r="G290" s="7" t="s">
        <v>3</v>
      </c>
      <c r="H290" s="7">
        <v>5014</v>
      </c>
      <c r="I290" s="7">
        <v>64</v>
      </c>
      <c r="J290" s="7">
        <v>1.2800000000000001E-2</v>
      </c>
      <c r="K290" s="7">
        <v>175439.86</v>
      </c>
      <c r="L290" s="7">
        <v>2239.36</v>
      </c>
      <c r="M290" s="20">
        <v>173200.5</v>
      </c>
    </row>
    <row r="291" spans="3:13" x14ac:dyDescent="0.35">
      <c r="C291" s="19">
        <v>2017</v>
      </c>
      <c r="D291" s="7" t="s">
        <v>68</v>
      </c>
      <c r="E291" s="7" t="s">
        <v>28</v>
      </c>
      <c r="F291" s="7" t="s">
        <v>14</v>
      </c>
      <c r="G291" s="7" t="s">
        <v>3</v>
      </c>
      <c r="H291" s="7">
        <v>3178</v>
      </c>
      <c r="I291" s="7">
        <v>53</v>
      </c>
      <c r="J291" s="7">
        <v>1.67E-2</v>
      </c>
      <c r="K291" s="7">
        <v>12680.22</v>
      </c>
      <c r="L291" s="7">
        <v>211.47</v>
      </c>
      <c r="M291" s="20">
        <v>12468.75</v>
      </c>
    </row>
    <row r="292" spans="3:13" x14ac:dyDescent="0.35">
      <c r="C292" s="19">
        <v>2017</v>
      </c>
      <c r="D292" s="7" t="s">
        <v>66</v>
      </c>
      <c r="E292" s="7" t="s">
        <v>28</v>
      </c>
      <c r="F292" s="7" t="s">
        <v>12</v>
      </c>
      <c r="G292" s="7" t="s">
        <v>3</v>
      </c>
      <c r="H292" s="7">
        <v>3561</v>
      </c>
      <c r="I292" s="7">
        <v>53</v>
      </c>
      <c r="J292" s="7">
        <v>1.49E-2</v>
      </c>
      <c r="K292" s="7">
        <v>35574.39</v>
      </c>
      <c r="L292" s="7">
        <v>529.47</v>
      </c>
      <c r="M292" s="20">
        <v>35044.92</v>
      </c>
    </row>
    <row r="293" spans="3:13" x14ac:dyDescent="0.35">
      <c r="C293" s="19">
        <v>2017</v>
      </c>
      <c r="D293" s="7" t="s">
        <v>84</v>
      </c>
      <c r="E293" s="7" t="s">
        <v>28</v>
      </c>
      <c r="F293" s="7" t="s">
        <v>85</v>
      </c>
      <c r="G293" s="7" t="s">
        <v>3</v>
      </c>
      <c r="H293" s="7">
        <v>3215</v>
      </c>
      <c r="I293" s="7">
        <v>52</v>
      </c>
      <c r="J293" s="7">
        <v>1.6199999999999999E-2</v>
      </c>
      <c r="K293" s="7">
        <v>70665.7</v>
      </c>
      <c r="L293" s="7">
        <v>1142.96</v>
      </c>
      <c r="M293" s="20">
        <v>69522.740000000005</v>
      </c>
    </row>
    <row r="294" spans="3:13" x14ac:dyDescent="0.35">
      <c r="C294" s="19">
        <v>2017</v>
      </c>
      <c r="D294" s="7" t="s">
        <v>74</v>
      </c>
      <c r="E294" s="7" t="s">
        <v>28</v>
      </c>
      <c r="F294" s="7" t="s">
        <v>12</v>
      </c>
      <c r="G294" s="7" t="s">
        <v>3</v>
      </c>
      <c r="H294" s="7">
        <v>3707</v>
      </c>
      <c r="I294" s="7">
        <v>52</v>
      </c>
      <c r="J294" s="7">
        <v>1.4E-2</v>
      </c>
      <c r="K294" s="7">
        <v>33325.93</v>
      </c>
      <c r="L294" s="7">
        <v>467.48</v>
      </c>
      <c r="M294" s="20">
        <v>32858.449999999997</v>
      </c>
    </row>
    <row r="295" spans="3:13" x14ac:dyDescent="0.35">
      <c r="C295" s="19">
        <v>2017</v>
      </c>
      <c r="D295" s="7" t="s">
        <v>69</v>
      </c>
      <c r="E295" s="7" t="s">
        <v>56</v>
      </c>
      <c r="F295" s="7" t="s">
        <v>16</v>
      </c>
      <c r="G295" s="7" t="s">
        <v>3</v>
      </c>
      <c r="H295" s="7">
        <v>4436</v>
      </c>
      <c r="I295" s="7">
        <v>48</v>
      </c>
      <c r="J295" s="7">
        <v>1.0800000000000001E-2</v>
      </c>
      <c r="K295" s="7">
        <v>149245.67000000001</v>
      </c>
      <c r="L295" s="7">
        <v>1614.92</v>
      </c>
      <c r="M295" s="20">
        <v>147630.75</v>
      </c>
    </row>
    <row r="296" spans="3:13" x14ac:dyDescent="0.35">
      <c r="C296" s="19">
        <v>2017</v>
      </c>
      <c r="D296" s="7" t="s">
        <v>69</v>
      </c>
      <c r="E296" s="7" t="s">
        <v>70</v>
      </c>
      <c r="F296" s="7" t="s">
        <v>16</v>
      </c>
      <c r="G296" s="7" t="s">
        <v>3</v>
      </c>
      <c r="H296" s="7">
        <v>4723</v>
      </c>
      <c r="I296" s="7">
        <v>48</v>
      </c>
      <c r="J296" s="7">
        <v>1.0200000000000001E-2</v>
      </c>
      <c r="K296" s="7">
        <v>158901.56</v>
      </c>
      <c r="L296" s="7">
        <v>1614.92</v>
      </c>
      <c r="M296" s="20">
        <v>157286.64000000001</v>
      </c>
    </row>
    <row r="297" spans="3:13" ht="29" x14ac:dyDescent="0.35">
      <c r="C297" s="19">
        <v>2017</v>
      </c>
      <c r="D297" s="7" t="s">
        <v>71</v>
      </c>
      <c r="E297" s="7" t="s">
        <v>72</v>
      </c>
      <c r="F297" s="7" t="s">
        <v>73</v>
      </c>
      <c r="G297" s="7" t="s">
        <v>21</v>
      </c>
      <c r="H297" s="7">
        <v>3752</v>
      </c>
      <c r="I297" s="7">
        <v>45</v>
      </c>
      <c r="J297" s="7">
        <v>1.2E-2</v>
      </c>
      <c r="K297" s="7">
        <v>180348.51</v>
      </c>
      <c r="L297" s="7">
        <v>2163.0300000000002</v>
      </c>
      <c r="M297" s="20">
        <v>178185.48</v>
      </c>
    </row>
    <row r="298" spans="3:13" x14ac:dyDescent="0.35">
      <c r="C298" s="19">
        <v>2017</v>
      </c>
      <c r="D298" s="7" t="s">
        <v>80</v>
      </c>
      <c r="E298" s="7" t="s">
        <v>28</v>
      </c>
      <c r="F298" s="7" t="s">
        <v>14</v>
      </c>
      <c r="G298" s="7" t="s">
        <v>3</v>
      </c>
      <c r="H298" s="7">
        <v>2075</v>
      </c>
      <c r="I298" s="7">
        <v>44</v>
      </c>
      <c r="J298" s="7">
        <v>2.12E-2</v>
      </c>
      <c r="K298" s="7">
        <v>72625</v>
      </c>
      <c r="L298" s="7">
        <v>1540</v>
      </c>
      <c r="M298" s="20">
        <v>71085</v>
      </c>
    </row>
    <row r="299" spans="3:13" x14ac:dyDescent="0.35">
      <c r="C299" s="19">
        <v>2017</v>
      </c>
      <c r="D299" s="7" t="s">
        <v>75</v>
      </c>
      <c r="E299" s="7" t="s">
        <v>72</v>
      </c>
      <c r="F299" s="7" t="s">
        <v>20</v>
      </c>
      <c r="G299" s="7" t="s">
        <v>21</v>
      </c>
      <c r="H299" s="7">
        <v>4941</v>
      </c>
      <c r="I299" s="7">
        <v>42</v>
      </c>
      <c r="J299" s="7">
        <v>8.5000000000000006E-3</v>
      </c>
      <c r="K299" s="7">
        <v>42710.99</v>
      </c>
      <c r="L299" s="7">
        <v>363.06</v>
      </c>
      <c r="M299" s="20">
        <v>42347.93</v>
      </c>
    </row>
    <row r="300" spans="3:13" x14ac:dyDescent="0.35">
      <c r="C300" s="19">
        <v>2017</v>
      </c>
      <c r="D300" s="7" t="s">
        <v>83</v>
      </c>
      <c r="E300" s="7" t="s">
        <v>28</v>
      </c>
      <c r="F300" s="7" t="s">
        <v>14</v>
      </c>
      <c r="G300" s="7" t="s">
        <v>3</v>
      </c>
      <c r="H300" s="7">
        <v>1356</v>
      </c>
      <c r="I300" s="7">
        <v>40</v>
      </c>
      <c r="J300" s="7">
        <v>2.9499999999999998E-2</v>
      </c>
      <c r="K300" s="7">
        <v>29140.44</v>
      </c>
      <c r="L300" s="7">
        <v>859.6</v>
      </c>
      <c r="M300" s="20">
        <v>28280.84</v>
      </c>
    </row>
    <row r="301" spans="3:13" x14ac:dyDescent="0.35">
      <c r="C301" s="19">
        <v>2017</v>
      </c>
      <c r="D301" s="7" t="s">
        <v>76</v>
      </c>
      <c r="E301" s="7" t="s">
        <v>56</v>
      </c>
      <c r="F301" s="7" t="s">
        <v>77</v>
      </c>
      <c r="G301" s="7" t="s">
        <v>21</v>
      </c>
      <c r="H301" s="7">
        <v>3484</v>
      </c>
      <c r="I301" s="7">
        <v>38</v>
      </c>
      <c r="J301" s="7">
        <v>1.09E-2</v>
      </c>
      <c r="K301" s="7">
        <v>82041.58</v>
      </c>
      <c r="L301" s="7">
        <v>894.83</v>
      </c>
      <c r="M301" s="20">
        <v>81146.75</v>
      </c>
    </row>
    <row r="302" spans="3:13" ht="29" x14ac:dyDescent="0.35">
      <c r="C302" s="19">
        <v>2017</v>
      </c>
      <c r="D302" s="7" t="s">
        <v>86</v>
      </c>
      <c r="E302" s="7" t="s">
        <v>63</v>
      </c>
      <c r="F302" s="7" t="s">
        <v>73</v>
      </c>
      <c r="G302" s="7" t="s">
        <v>21</v>
      </c>
      <c r="H302" s="7">
        <v>3364</v>
      </c>
      <c r="I302" s="7">
        <v>38</v>
      </c>
      <c r="J302" s="7">
        <v>1.1299999999999999E-2</v>
      </c>
      <c r="K302" s="7">
        <v>181622.36</v>
      </c>
      <c r="L302" s="7">
        <v>2051.62</v>
      </c>
      <c r="M302" s="20">
        <v>179570.74</v>
      </c>
    </row>
    <row r="303" spans="3:13" x14ac:dyDescent="0.35">
      <c r="C303" s="19">
        <v>2017</v>
      </c>
      <c r="D303" s="7" t="s">
        <v>81</v>
      </c>
      <c r="E303" s="7" t="s">
        <v>28</v>
      </c>
      <c r="F303" s="7" t="s">
        <v>14</v>
      </c>
      <c r="G303" s="7" t="s">
        <v>3</v>
      </c>
      <c r="H303" s="7">
        <v>2054</v>
      </c>
      <c r="I303" s="7">
        <v>38</v>
      </c>
      <c r="J303" s="7">
        <v>1.8499999999999999E-2</v>
      </c>
      <c r="K303" s="7">
        <v>10249.459999999999</v>
      </c>
      <c r="L303" s="7">
        <v>189.62</v>
      </c>
      <c r="M303" s="20">
        <v>10059.84</v>
      </c>
    </row>
    <row r="304" spans="3:13" ht="29" x14ac:dyDescent="0.35">
      <c r="C304" s="19">
        <v>2017</v>
      </c>
      <c r="D304" s="7" t="s">
        <v>87</v>
      </c>
      <c r="E304" s="7" t="s">
        <v>56</v>
      </c>
      <c r="F304" s="7" t="s">
        <v>88</v>
      </c>
      <c r="G304" s="7" t="s">
        <v>21</v>
      </c>
      <c r="H304" s="7">
        <v>1034</v>
      </c>
      <c r="I304" s="7">
        <v>37</v>
      </c>
      <c r="J304" s="7">
        <v>3.5799999999999998E-2</v>
      </c>
      <c r="K304" s="7">
        <v>72369.66</v>
      </c>
      <c r="L304" s="7">
        <v>2589.63</v>
      </c>
      <c r="M304" s="20">
        <v>69780.03</v>
      </c>
    </row>
    <row r="305" spans="3:13" x14ac:dyDescent="0.35">
      <c r="C305" s="19">
        <v>2017</v>
      </c>
      <c r="D305" s="7" t="s">
        <v>78</v>
      </c>
      <c r="E305" s="7" t="s">
        <v>56</v>
      </c>
      <c r="F305" s="7" t="s">
        <v>6</v>
      </c>
      <c r="G305" s="7" t="s">
        <v>2</v>
      </c>
      <c r="H305" s="7">
        <v>1269</v>
      </c>
      <c r="I305" s="7">
        <v>34</v>
      </c>
      <c r="J305" s="7">
        <v>2.6800000000000001E-2</v>
      </c>
      <c r="K305" s="7">
        <v>685247.31</v>
      </c>
      <c r="L305" s="7">
        <v>18359.66</v>
      </c>
      <c r="M305" s="20">
        <v>666887.65</v>
      </c>
    </row>
    <row r="306" spans="3:13" x14ac:dyDescent="0.35">
      <c r="C306" s="19">
        <v>2017</v>
      </c>
      <c r="D306" s="7" t="s">
        <v>58</v>
      </c>
      <c r="E306" s="7" t="s">
        <v>56</v>
      </c>
      <c r="F306" s="7" t="s">
        <v>60</v>
      </c>
      <c r="G306" s="7" t="s">
        <v>2</v>
      </c>
      <c r="H306" s="7">
        <v>1079</v>
      </c>
      <c r="I306" s="7">
        <v>31</v>
      </c>
      <c r="J306" s="7">
        <v>2.87E-2</v>
      </c>
      <c r="K306" s="7">
        <v>2210976.96</v>
      </c>
      <c r="L306" s="7">
        <v>63522.04</v>
      </c>
      <c r="M306" s="20">
        <v>2147454.92</v>
      </c>
    </row>
    <row r="307" spans="3:13" x14ac:dyDescent="0.35">
      <c r="C307" s="19">
        <v>2017</v>
      </c>
      <c r="D307" s="7" t="s">
        <v>82</v>
      </c>
      <c r="E307" s="7" t="s">
        <v>28</v>
      </c>
      <c r="F307" s="7" t="s">
        <v>14</v>
      </c>
      <c r="G307" s="7" t="s">
        <v>3</v>
      </c>
      <c r="H307" s="7">
        <v>949</v>
      </c>
      <c r="I307" s="7">
        <v>31</v>
      </c>
      <c r="J307" s="7">
        <v>3.27E-2</v>
      </c>
      <c r="K307" s="7">
        <v>23715.51</v>
      </c>
      <c r="L307" s="7">
        <v>774.69</v>
      </c>
      <c r="M307" s="20">
        <v>22940.82</v>
      </c>
    </row>
    <row r="308" spans="3:13" x14ac:dyDescent="0.35">
      <c r="C308" s="19">
        <v>2017</v>
      </c>
      <c r="D308" s="7" t="s">
        <v>99</v>
      </c>
      <c r="E308" s="7" t="s">
        <v>63</v>
      </c>
      <c r="F308" s="7" t="s">
        <v>6</v>
      </c>
      <c r="G308" s="7" t="s">
        <v>2</v>
      </c>
      <c r="H308" s="7">
        <v>910</v>
      </c>
      <c r="I308" s="7">
        <v>28</v>
      </c>
      <c r="J308" s="7">
        <v>3.0800000000000001E-2</v>
      </c>
      <c r="K308" s="7">
        <v>1547900.9</v>
      </c>
      <c r="L308" s="7">
        <v>47627.72</v>
      </c>
      <c r="M308" s="20">
        <v>1500273.18</v>
      </c>
    </row>
    <row r="309" spans="3:13" x14ac:dyDescent="0.35">
      <c r="C309" s="19">
        <v>2017</v>
      </c>
      <c r="D309" s="7" t="s">
        <v>91</v>
      </c>
      <c r="E309" s="7" t="s">
        <v>28</v>
      </c>
      <c r="F309" s="7" t="s">
        <v>14</v>
      </c>
      <c r="G309" s="7" t="s">
        <v>3</v>
      </c>
      <c r="H309" s="7">
        <v>1290</v>
      </c>
      <c r="I309" s="7">
        <v>27</v>
      </c>
      <c r="J309" s="7">
        <v>2.0899999999999998E-2</v>
      </c>
      <c r="K309" s="7">
        <v>38687.1</v>
      </c>
      <c r="L309" s="7">
        <v>809.73</v>
      </c>
      <c r="M309" s="20">
        <v>37877.370000000003</v>
      </c>
    </row>
    <row r="310" spans="3:13" x14ac:dyDescent="0.35">
      <c r="C310" s="19">
        <v>2017</v>
      </c>
      <c r="D310" s="7" t="s">
        <v>58</v>
      </c>
      <c r="E310" s="7" t="s">
        <v>59</v>
      </c>
      <c r="F310" s="7" t="s">
        <v>60</v>
      </c>
      <c r="G310" s="7" t="s">
        <v>2</v>
      </c>
      <c r="H310" s="7">
        <v>1088</v>
      </c>
      <c r="I310" s="7">
        <v>26</v>
      </c>
      <c r="J310" s="7">
        <v>2.3900000000000001E-2</v>
      </c>
      <c r="K310" s="7">
        <v>2253704.52</v>
      </c>
      <c r="L310" s="7">
        <v>53856.91</v>
      </c>
      <c r="M310" s="20">
        <v>2199847.61</v>
      </c>
    </row>
    <row r="311" spans="3:13" x14ac:dyDescent="0.35">
      <c r="C311" s="19">
        <v>2017</v>
      </c>
      <c r="D311" s="7" t="s">
        <v>93</v>
      </c>
      <c r="E311" s="7" t="s">
        <v>59</v>
      </c>
      <c r="F311" s="7" t="s">
        <v>94</v>
      </c>
      <c r="G311" s="7" t="s">
        <v>3</v>
      </c>
      <c r="H311" s="7">
        <v>1732</v>
      </c>
      <c r="I311" s="7">
        <v>24</v>
      </c>
      <c r="J311" s="7">
        <v>1.3899999999999999E-2</v>
      </c>
      <c r="K311" s="7">
        <v>95242.68</v>
      </c>
      <c r="L311" s="7">
        <v>1319.76</v>
      </c>
      <c r="M311" s="20">
        <v>93922.92</v>
      </c>
    </row>
    <row r="312" spans="3:13" x14ac:dyDescent="0.35">
      <c r="C312" s="19">
        <v>2017</v>
      </c>
      <c r="D312" s="7" t="s">
        <v>95</v>
      </c>
      <c r="E312" s="7" t="s">
        <v>96</v>
      </c>
      <c r="F312" s="7" t="s">
        <v>97</v>
      </c>
      <c r="G312" s="7" t="s">
        <v>21</v>
      </c>
      <c r="H312" s="7">
        <v>1181</v>
      </c>
      <c r="I312" s="7">
        <v>23</v>
      </c>
      <c r="J312" s="7">
        <v>1.95E-2</v>
      </c>
      <c r="K312" s="7">
        <v>10617.19</v>
      </c>
      <c r="L312" s="7">
        <v>206.77</v>
      </c>
      <c r="M312" s="20">
        <v>10410.42</v>
      </c>
    </row>
    <row r="313" spans="3:13" x14ac:dyDescent="0.35">
      <c r="C313" s="19">
        <v>2017</v>
      </c>
      <c r="D313" s="7" t="s">
        <v>101</v>
      </c>
      <c r="E313" s="7" t="s">
        <v>70</v>
      </c>
      <c r="F313" s="7" t="s">
        <v>102</v>
      </c>
      <c r="G313" s="7" t="s">
        <v>2</v>
      </c>
      <c r="H313" s="7">
        <v>624</v>
      </c>
      <c r="I313" s="7">
        <v>23</v>
      </c>
      <c r="J313" s="7">
        <v>3.6900000000000002E-2</v>
      </c>
      <c r="K313" s="7">
        <v>1487659.68</v>
      </c>
      <c r="L313" s="7">
        <v>54833.61</v>
      </c>
      <c r="M313" s="20">
        <v>1432826.07</v>
      </c>
    </row>
    <row r="314" spans="3:13" x14ac:dyDescent="0.35">
      <c r="C314" s="19">
        <v>2017</v>
      </c>
      <c r="D314" s="7" t="s">
        <v>92</v>
      </c>
      <c r="E314" s="7" t="s">
        <v>28</v>
      </c>
      <c r="F314" s="7" t="s">
        <v>14</v>
      </c>
      <c r="G314" s="7" t="s">
        <v>3</v>
      </c>
      <c r="H314" s="7">
        <v>1331</v>
      </c>
      <c r="I314" s="7">
        <v>22</v>
      </c>
      <c r="J314" s="7">
        <v>1.6500000000000001E-2</v>
      </c>
      <c r="K314" s="7">
        <v>33261.69</v>
      </c>
      <c r="L314" s="7">
        <v>549.78</v>
      </c>
      <c r="M314" s="20">
        <v>32711.91</v>
      </c>
    </row>
    <row r="315" spans="3:13" x14ac:dyDescent="0.35">
      <c r="C315" s="19">
        <v>2017</v>
      </c>
      <c r="D315" s="7" t="s">
        <v>107</v>
      </c>
      <c r="E315" s="7" t="s">
        <v>70</v>
      </c>
      <c r="F315" s="7" t="s">
        <v>108</v>
      </c>
      <c r="G315" s="7" t="s">
        <v>21</v>
      </c>
      <c r="H315" s="7">
        <v>1282</v>
      </c>
      <c r="I315" s="7">
        <v>21</v>
      </c>
      <c r="J315" s="7">
        <v>1.6400000000000001E-2</v>
      </c>
      <c r="K315" s="7">
        <v>81407</v>
      </c>
      <c r="L315" s="7">
        <v>1333.5</v>
      </c>
      <c r="M315" s="20">
        <v>80073.5</v>
      </c>
    </row>
    <row r="316" spans="3:13" x14ac:dyDescent="0.35">
      <c r="C316" s="19">
        <v>2017</v>
      </c>
      <c r="D316" s="7" t="s">
        <v>89</v>
      </c>
      <c r="E316" s="7" t="s">
        <v>28</v>
      </c>
      <c r="F316" s="7" t="s">
        <v>90</v>
      </c>
      <c r="G316" s="7" t="s">
        <v>3</v>
      </c>
      <c r="H316" s="7">
        <v>2154</v>
      </c>
      <c r="I316" s="7">
        <v>21</v>
      </c>
      <c r="J316" s="7">
        <v>9.7000000000000003E-3</v>
      </c>
      <c r="K316" s="7">
        <v>17124.3</v>
      </c>
      <c r="L316" s="7">
        <v>166.95</v>
      </c>
      <c r="M316" s="20">
        <v>16957.349999999999</v>
      </c>
    </row>
    <row r="317" spans="3:13" x14ac:dyDescent="0.35">
      <c r="C317" s="19">
        <v>2017</v>
      </c>
      <c r="D317" s="7" t="s">
        <v>79</v>
      </c>
      <c r="E317" s="7" t="s">
        <v>28</v>
      </c>
      <c r="F317" s="7" t="s">
        <v>14</v>
      </c>
      <c r="G317" s="7" t="s">
        <v>3</v>
      </c>
      <c r="H317" s="7">
        <v>1050</v>
      </c>
      <c r="I317" s="7">
        <v>19</v>
      </c>
      <c r="J317" s="7">
        <v>1.8100000000000002E-2</v>
      </c>
      <c r="K317" s="7">
        <v>34230</v>
      </c>
      <c r="L317" s="7">
        <v>619.4</v>
      </c>
      <c r="M317" s="20">
        <v>33610.6</v>
      </c>
    </row>
    <row r="318" spans="3:13" x14ac:dyDescent="0.35">
      <c r="C318" s="19">
        <v>2017</v>
      </c>
      <c r="D318" s="7" t="s">
        <v>62</v>
      </c>
      <c r="E318" s="7" t="s">
        <v>63</v>
      </c>
      <c r="F318" s="7" t="s">
        <v>6</v>
      </c>
      <c r="G318" s="7" t="s">
        <v>2</v>
      </c>
      <c r="H318" s="7">
        <v>912</v>
      </c>
      <c r="I318" s="7">
        <v>18</v>
      </c>
      <c r="J318" s="7">
        <v>1.9699999999999999E-2</v>
      </c>
      <c r="K318" s="7">
        <v>912399</v>
      </c>
      <c r="L318" s="7">
        <v>18007.88</v>
      </c>
      <c r="M318" s="20">
        <v>894391.12</v>
      </c>
    </row>
    <row r="319" spans="3:13" x14ac:dyDescent="0.35">
      <c r="C319" s="79">
        <v>2017</v>
      </c>
      <c r="D319" s="31" t="s">
        <v>105</v>
      </c>
      <c r="E319" s="31" t="s">
        <v>70</v>
      </c>
      <c r="F319" s="31" t="s">
        <v>102</v>
      </c>
      <c r="G319" s="31" t="s">
        <v>2</v>
      </c>
      <c r="H319" s="31">
        <v>308</v>
      </c>
      <c r="I319" s="31">
        <v>18</v>
      </c>
      <c r="J319" s="31">
        <v>5.8400000000000001E-2</v>
      </c>
      <c r="K319" s="31">
        <v>374173.8</v>
      </c>
      <c r="L319" s="31">
        <v>21867.3</v>
      </c>
      <c r="M319" s="80">
        <v>352306.5</v>
      </c>
    </row>
    <row r="320" spans="3:13" x14ac:dyDescent="0.35">
      <c r="C320" s="19">
        <v>2017</v>
      </c>
      <c r="D320" s="7" t="s">
        <v>101</v>
      </c>
      <c r="E320" s="7" t="s">
        <v>63</v>
      </c>
      <c r="F320" s="7" t="s">
        <v>102</v>
      </c>
      <c r="G320" s="7" t="s">
        <v>2</v>
      </c>
      <c r="H320" s="7">
        <v>612</v>
      </c>
      <c r="I320" s="7">
        <v>17</v>
      </c>
      <c r="J320" s="7">
        <v>2.7799999999999998E-2</v>
      </c>
      <c r="K320" s="7">
        <v>1459050.84</v>
      </c>
      <c r="L320" s="7">
        <v>40529.19</v>
      </c>
      <c r="M320" s="20">
        <v>1418521.65</v>
      </c>
    </row>
    <row r="321" spans="3:13" x14ac:dyDescent="0.35">
      <c r="C321" s="19">
        <v>2017</v>
      </c>
      <c r="D321" s="7" t="s">
        <v>98</v>
      </c>
      <c r="E321" s="7" t="s">
        <v>28</v>
      </c>
      <c r="F321" s="7" t="s">
        <v>14</v>
      </c>
      <c r="G321" s="7" t="s">
        <v>3</v>
      </c>
      <c r="H321" s="7">
        <v>1323</v>
      </c>
      <c r="I321" s="7">
        <v>16</v>
      </c>
      <c r="J321" s="7">
        <v>1.21E-2</v>
      </c>
      <c r="K321" s="7">
        <v>38353.769999999997</v>
      </c>
      <c r="L321" s="7">
        <v>463.84</v>
      </c>
      <c r="M321" s="20">
        <v>37889.93</v>
      </c>
    </row>
    <row r="322" spans="3:13" x14ac:dyDescent="0.35">
      <c r="C322" s="19">
        <v>2017</v>
      </c>
      <c r="D322" s="7" t="s">
        <v>100</v>
      </c>
      <c r="E322" s="7" t="s">
        <v>59</v>
      </c>
      <c r="F322" s="7" t="s">
        <v>60</v>
      </c>
      <c r="G322" s="7" t="s">
        <v>2</v>
      </c>
      <c r="H322" s="7">
        <v>488</v>
      </c>
      <c r="I322" s="7">
        <v>11</v>
      </c>
      <c r="J322" s="7">
        <v>2.2499999999999999E-2</v>
      </c>
      <c r="K322" s="7">
        <v>375511.12</v>
      </c>
      <c r="L322" s="7">
        <v>8464.39</v>
      </c>
      <c r="M322" s="20">
        <v>367046.73</v>
      </c>
    </row>
    <row r="323" spans="3:13" x14ac:dyDescent="0.35">
      <c r="C323" s="19">
        <v>2017</v>
      </c>
      <c r="D323" s="7" t="s">
        <v>109</v>
      </c>
      <c r="E323" s="7" t="s">
        <v>70</v>
      </c>
      <c r="F323" s="7" t="s">
        <v>102</v>
      </c>
      <c r="G323" s="7" t="s">
        <v>2</v>
      </c>
      <c r="H323" s="7">
        <v>238</v>
      </c>
      <c r="I323" s="7">
        <v>10</v>
      </c>
      <c r="J323" s="7">
        <v>4.2000000000000003E-2</v>
      </c>
      <c r="K323" s="7">
        <v>176679.3</v>
      </c>
      <c r="L323" s="7">
        <v>7423.5</v>
      </c>
      <c r="M323" s="20">
        <v>169255.8</v>
      </c>
    </row>
    <row r="324" spans="3:13" x14ac:dyDescent="0.35">
      <c r="C324" s="19">
        <v>2017</v>
      </c>
      <c r="D324" s="7" t="s">
        <v>55</v>
      </c>
      <c r="E324" s="7" t="s">
        <v>56</v>
      </c>
      <c r="F324" s="7" t="s">
        <v>6</v>
      </c>
      <c r="G324" s="7" t="s">
        <v>2</v>
      </c>
      <c r="H324" s="7">
        <v>349</v>
      </c>
      <c r="I324" s="7">
        <v>9</v>
      </c>
      <c r="J324" s="7">
        <v>2.58E-2</v>
      </c>
      <c r="K324" s="7">
        <v>761365.31</v>
      </c>
      <c r="L324" s="7">
        <v>19634.060000000001</v>
      </c>
      <c r="M324" s="20">
        <v>741731.25</v>
      </c>
    </row>
    <row r="325" spans="3:13" x14ac:dyDescent="0.35">
      <c r="C325" s="19">
        <v>2017</v>
      </c>
      <c r="D325" s="7" t="s">
        <v>106</v>
      </c>
      <c r="E325" s="7" t="s">
        <v>59</v>
      </c>
      <c r="F325" s="7" t="s">
        <v>60</v>
      </c>
      <c r="G325" s="7" t="s">
        <v>2</v>
      </c>
      <c r="H325" s="7">
        <v>200</v>
      </c>
      <c r="I325" s="7">
        <v>8</v>
      </c>
      <c r="J325" s="7">
        <v>0.04</v>
      </c>
      <c r="K325" s="7">
        <v>112998</v>
      </c>
      <c r="L325" s="7">
        <v>4319.92</v>
      </c>
      <c r="M325" s="20">
        <v>108678.08</v>
      </c>
    </row>
    <row r="326" spans="3:13" x14ac:dyDescent="0.35">
      <c r="C326" s="19">
        <v>2017</v>
      </c>
      <c r="D326" s="7" t="s">
        <v>110</v>
      </c>
      <c r="E326" s="7" t="s">
        <v>28</v>
      </c>
      <c r="F326" s="7" t="s">
        <v>111</v>
      </c>
      <c r="G326" s="7" t="s">
        <v>3</v>
      </c>
      <c r="H326" s="7">
        <v>690</v>
      </c>
      <c r="I326" s="7">
        <v>7</v>
      </c>
      <c r="J326" s="7">
        <v>1.01E-2</v>
      </c>
      <c r="K326" s="7">
        <v>82800</v>
      </c>
      <c r="L326" s="7">
        <v>840</v>
      </c>
      <c r="M326" s="20">
        <v>81960</v>
      </c>
    </row>
    <row r="327" spans="3:13" x14ac:dyDescent="0.35">
      <c r="C327" s="19">
        <v>2017</v>
      </c>
      <c r="D327" s="7" t="s">
        <v>109</v>
      </c>
      <c r="E327" s="7" t="s">
        <v>63</v>
      </c>
      <c r="F327" s="7" t="s">
        <v>102</v>
      </c>
      <c r="G327" s="7" t="s">
        <v>2</v>
      </c>
      <c r="H327" s="7">
        <v>242</v>
      </c>
      <c r="I327" s="7">
        <v>7</v>
      </c>
      <c r="J327" s="7">
        <v>2.8899999999999999E-2</v>
      </c>
      <c r="K327" s="7">
        <v>179648.7</v>
      </c>
      <c r="L327" s="7">
        <v>5196.45</v>
      </c>
      <c r="M327" s="20">
        <v>174452.25</v>
      </c>
    </row>
    <row r="328" spans="3:13" x14ac:dyDescent="0.35">
      <c r="C328" s="79">
        <v>2017</v>
      </c>
      <c r="D328" s="31" t="s">
        <v>55</v>
      </c>
      <c r="E328" s="31" t="s">
        <v>54</v>
      </c>
      <c r="F328" s="31" t="s">
        <v>6</v>
      </c>
      <c r="G328" s="31" t="s">
        <v>2</v>
      </c>
      <c r="H328" s="31">
        <v>101</v>
      </c>
      <c r="I328" s="31">
        <v>6</v>
      </c>
      <c r="J328" s="31">
        <v>5.9400000000000001E-2</v>
      </c>
      <c r="K328" s="31">
        <v>220337.81</v>
      </c>
      <c r="L328" s="31">
        <v>13089.38</v>
      </c>
      <c r="M328" s="80">
        <v>207248.43</v>
      </c>
    </row>
    <row r="329" spans="3:13" x14ac:dyDescent="0.35">
      <c r="C329" s="19">
        <v>2017</v>
      </c>
      <c r="D329" s="7" t="s">
        <v>106</v>
      </c>
      <c r="E329" s="7" t="s">
        <v>56</v>
      </c>
      <c r="F329" s="7" t="s">
        <v>60</v>
      </c>
      <c r="G329" s="7" t="s">
        <v>2</v>
      </c>
      <c r="H329" s="7">
        <v>232</v>
      </c>
      <c r="I329" s="7">
        <v>5</v>
      </c>
      <c r="J329" s="7">
        <v>2.1600000000000001E-2</v>
      </c>
      <c r="K329" s="7">
        <v>125277.68</v>
      </c>
      <c r="L329" s="7">
        <v>2824.95</v>
      </c>
      <c r="M329" s="20">
        <v>122452.73</v>
      </c>
    </row>
    <row r="330" spans="3:13" x14ac:dyDescent="0.35">
      <c r="C330" s="21">
        <v>2017</v>
      </c>
      <c r="D330" s="22" t="s">
        <v>103</v>
      </c>
      <c r="E330" s="22" t="s">
        <v>28</v>
      </c>
      <c r="F330" s="22" t="s">
        <v>104</v>
      </c>
      <c r="G330" s="22" t="s">
        <v>3</v>
      </c>
      <c r="H330" s="22">
        <v>527</v>
      </c>
      <c r="I330" s="22">
        <v>4</v>
      </c>
      <c r="J330" s="22">
        <v>7.6E-3</v>
      </c>
      <c r="K330" s="22">
        <v>83793</v>
      </c>
      <c r="L330" s="22">
        <v>636</v>
      </c>
      <c r="M330" s="23">
        <v>83157</v>
      </c>
    </row>
    <row r="331" spans="3:13" x14ac:dyDescent="0.35">
      <c r="C331" s="7"/>
      <c r="D331" s="7"/>
      <c r="E331" s="7"/>
      <c r="F331" s="7"/>
      <c r="G331" s="7"/>
      <c r="H331" s="7"/>
      <c r="I331" s="7"/>
      <c r="J331" s="7"/>
      <c r="K331" s="7"/>
      <c r="L331" s="7"/>
      <c r="M331" s="7"/>
    </row>
    <row r="332" spans="3:13" x14ac:dyDescent="0.35">
      <c r="C332" s="7"/>
      <c r="D332" s="7"/>
      <c r="E332" s="7"/>
      <c r="F332" s="7"/>
      <c r="G332" s="7"/>
      <c r="H332" s="7"/>
      <c r="I332" s="7"/>
      <c r="J332" s="7"/>
      <c r="K332" s="7"/>
      <c r="L332" s="7"/>
      <c r="M332" s="7"/>
    </row>
    <row r="333" spans="3:13" x14ac:dyDescent="0.35">
      <c r="C333" s="7"/>
      <c r="D333" s="7"/>
      <c r="E333" s="7"/>
      <c r="F333" s="7"/>
      <c r="G333" s="7"/>
      <c r="H333" s="7"/>
      <c r="I333" s="7"/>
      <c r="J333" s="7"/>
      <c r="K333" s="7"/>
      <c r="L333" s="7"/>
      <c r="M333" s="7"/>
    </row>
    <row r="334" spans="3:13" x14ac:dyDescent="0.35">
      <c r="D334" s="110" t="s">
        <v>224</v>
      </c>
      <c r="E334" s="110"/>
      <c r="F334" s="110"/>
      <c r="G334" s="110"/>
      <c r="H334" s="110"/>
      <c r="I334" s="110"/>
      <c r="J334" s="110"/>
      <c r="K334" s="110"/>
      <c r="L334" s="110"/>
      <c r="M334" s="7"/>
    </row>
    <row r="335" spans="3:13" x14ac:dyDescent="0.35">
      <c r="D335" s="110"/>
      <c r="E335" s="110"/>
      <c r="F335" s="110"/>
      <c r="G335" s="110"/>
      <c r="H335" s="110"/>
      <c r="I335" s="110"/>
      <c r="J335" s="110"/>
      <c r="K335" s="110"/>
      <c r="L335" s="110"/>
      <c r="M335" s="7"/>
    </row>
    <row r="336" spans="3:13" ht="21" x14ac:dyDescent="0.35">
      <c r="D336" s="5"/>
      <c r="E336" s="5"/>
      <c r="F336" s="5"/>
      <c r="G336" s="5"/>
      <c r="H336" s="5"/>
      <c r="I336" s="5"/>
      <c r="J336" s="5"/>
      <c r="K336" s="5"/>
      <c r="L336" s="5"/>
      <c r="M336" s="7"/>
    </row>
    <row r="337" spans="3:14" x14ac:dyDescent="0.35">
      <c r="C337" s="90" t="s">
        <v>0</v>
      </c>
      <c r="D337" s="89" t="s">
        <v>179</v>
      </c>
      <c r="E337" s="89" t="s">
        <v>180</v>
      </c>
      <c r="F337" s="89" t="s">
        <v>181</v>
      </c>
      <c r="G337" s="89" t="s">
        <v>50</v>
      </c>
      <c r="H337" s="89" t="s">
        <v>51</v>
      </c>
      <c r="I337" s="89" t="s">
        <v>225</v>
      </c>
      <c r="J337" s="89" t="s">
        <v>112</v>
      </c>
      <c r="K337" s="89" t="s">
        <v>182</v>
      </c>
      <c r="L337" s="89" t="s">
        <v>114</v>
      </c>
      <c r="M337" s="89" t="s">
        <v>131</v>
      </c>
      <c r="N337" s="91" t="s">
        <v>208</v>
      </c>
    </row>
    <row r="338" spans="3:14" x14ac:dyDescent="0.35">
      <c r="C338" s="16">
        <v>2015</v>
      </c>
      <c r="D338" s="17" t="s">
        <v>165</v>
      </c>
      <c r="E338" s="17" t="s">
        <v>166</v>
      </c>
      <c r="F338" s="17" t="s">
        <v>166</v>
      </c>
      <c r="G338" s="17">
        <v>1288</v>
      </c>
      <c r="H338" s="17">
        <v>53</v>
      </c>
      <c r="I338" s="17">
        <v>1235</v>
      </c>
      <c r="J338" s="17">
        <v>3214404.55</v>
      </c>
      <c r="K338" s="17">
        <v>137317.69</v>
      </c>
      <c r="L338" s="17">
        <v>1898438.79</v>
      </c>
      <c r="M338" s="17">
        <v>3077086.86</v>
      </c>
      <c r="N338" s="18">
        <v>1178648.07</v>
      </c>
    </row>
    <row r="339" spans="3:14" x14ac:dyDescent="0.35">
      <c r="C339" s="19">
        <v>2015</v>
      </c>
      <c r="D339" s="7" t="s">
        <v>167</v>
      </c>
      <c r="E339" s="7" t="s">
        <v>168</v>
      </c>
      <c r="F339" s="7" t="s">
        <v>169</v>
      </c>
      <c r="G339" s="7">
        <v>767</v>
      </c>
      <c r="H339" s="7">
        <v>20</v>
      </c>
      <c r="I339" s="7">
        <v>747</v>
      </c>
      <c r="J339" s="7">
        <v>1871997.3</v>
      </c>
      <c r="K339" s="7">
        <v>49325.79</v>
      </c>
      <c r="L339" s="7">
        <v>1110549.29</v>
      </c>
      <c r="M339" s="7">
        <v>1822671.51</v>
      </c>
      <c r="N339" s="20">
        <v>712122.22</v>
      </c>
    </row>
    <row r="340" spans="3:14" x14ac:dyDescent="0.35">
      <c r="C340" s="19">
        <v>2015</v>
      </c>
      <c r="D340" s="7" t="s">
        <v>167</v>
      </c>
      <c r="E340" s="7" t="s">
        <v>168</v>
      </c>
      <c r="F340" s="7" t="s">
        <v>170</v>
      </c>
      <c r="G340" s="7">
        <v>504</v>
      </c>
      <c r="H340" s="7">
        <v>11</v>
      </c>
      <c r="I340" s="7">
        <v>493</v>
      </c>
      <c r="J340" s="7">
        <v>1268088.58</v>
      </c>
      <c r="K340" s="7">
        <v>29167.83</v>
      </c>
      <c r="L340" s="7">
        <v>756049.47</v>
      </c>
      <c r="M340" s="7">
        <v>1238920.75</v>
      </c>
      <c r="N340" s="20">
        <v>482871.28</v>
      </c>
    </row>
    <row r="341" spans="3:14" x14ac:dyDescent="0.35">
      <c r="C341" s="19">
        <v>2015</v>
      </c>
      <c r="D341" s="7" t="s">
        <v>167</v>
      </c>
      <c r="E341" s="7" t="s">
        <v>171</v>
      </c>
      <c r="F341" s="7" t="s">
        <v>171</v>
      </c>
      <c r="G341" s="7">
        <v>340</v>
      </c>
      <c r="H341" s="7">
        <v>11</v>
      </c>
      <c r="I341" s="7">
        <v>329</v>
      </c>
      <c r="J341" s="7">
        <v>924097.3</v>
      </c>
      <c r="K341" s="7">
        <v>31719.88</v>
      </c>
      <c r="L341" s="7">
        <v>555737.19999999995</v>
      </c>
      <c r="M341" s="7">
        <v>892377.42</v>
      </c>
      <c r="N341" s="20">
        <v>336640.22</v>
      </c>
    </row>
    <row r="342" spans="3:14" x14ac:dyDescent="0.35">
      <c r="C342" s="19">
        <v>2015</v>
      </c>
      <c r="D342" s="7" t="s">
        <v>172</v>
      </c>
      <c r="E342" s="7" t="s">
        <v>173</v>
      </c>
      <c r="F342" s="7" t="s">
        <v>173</v>
      </c>
      <c r="G342" s="7">
        <v>390</v>
      </c>
      <c r="H342" s="7">
        <v>11</v>
      </c>
      <c r="I342" s="7">
        <v>379</v>
      </c>
      <c r="J342" s="7">
        <v>855482.09</v>
      </c>
      <c r="K342" s="7">
        <v>24602.639999999999</v>
      </c>
      <c r="L342" s="7">
        <v>505693.89</v>
      </c>
      <c r="M342" s="7">
        <v>830879.45</v>
      </c>
      <c r="N342" s="20">
        <v>325185.56</v>
      </c>
    </row>
    <row r="343" spans="3:14" x14ac:dyDescent="0.35">
      <c r="C343" s="19">
        <v>2015</v>
      </c>
      <c r="D343" s="7" t="s">
        <v>172</v>
      </c>
      <c r="E343" s="7" t="s">
        <v>175</v>
      </c>
      <c r="F343" s="7" t="s">
        <v>175</v>
      </c>
      <c r="G343" s="7">
        <v>346</v>
      </c>
      <c r="H343" s="7">
        <v>6</v>
      </c>
      <c r="I343" s="7">
        <v>340</v>
      </c>
      <c r="J343" s="7">
        <v>751027.09</v>
      </c>
      <c r="K343" s="7">
        <v>20334.7</v>
      </c>
      <c r="L343" s="7">
        <v>446628.1</v>
      </c>
      <c r="M343" s="7">
        <v>730692.39</v>
      </c>
      <c r="N343" s="20">
        <v>284064.28999999998</v>
      </c>
    </row>
    <row r="344" spans="3:14" x14ac:dyDescent="0.35">
      <c r="C344" s="19">
        <v>2015</v>
      </c>
      <c r="D344" s="7" t="s">
        <v>172</v>
      </c>
      <c r="E344" s="7" t="s">
        <v>174</v>
      </c>
      <c r="F344" s="7" t="s">
        <v>174</v>
      </c>
      <c r="G344" s="7">
        <v>336</v>
      </c>
      <c r="H344" s="7">
        <v>22</v>
      </c>
      <c r="I344" s="7">
        <v>314</v>
      </c>
      <c r="J344" s="7">
        <v>742365.9</v>
      </c>
      <c r="K344" s="7">
        <v>41546.11</v>
      </c>
      <c r="L344" s="7">
        <v>442094.77</v>
      </c>
      <c r="M344" s="7">
        <v>700819.79</v>
      </c>
      <c r="N344" s="20">
        <v>258725.02</v>
      </c>
    </row>
    <row r="345" spans="3:14" x14ac:dyDescent="0.35">
      <c r="C345" s="19">
        <v>2015</v>
      </c>
      <c r="D345" s="7" t="s">
        <v>167</v>
      </c>
      <c r="E345" s="7" t="s">
        <v>168</v>
      </c>
      <c r="F345" s="7" t="s">
        <v>176</v>
      </c>
      <c r="G345" s="7">
        <v>2</v>
      </c>
      <c r="H345" s="7">
        <v>0</v>
      </c>
      <c r="I345" s="7">
        <v>2</v>
      </c>
      <c r="J345" s="7">
        <v>1398.2</v>
      </c>
      <c r="K345" s="7">
        <v>0</v>
      </c>
      <c r="L345" s="7">
        <v>826.29</v>
      </c>
      <c r="M345" s="7">
        <v>1398.2</v>
      </c>
      <c r="N345" s="20">
        <v>571.91</v>
      </c>
    </row>
    <row r="346" spans="3:14" x14ac:dyDescent="0.35">
      <c r="C346" s="19">
        <v>2016</v>
      </c>
      <c r="D346" s="7" t="s">
        <v>165</v>
      </c>
      <c r="E346" s="7" t="s">
        <v>166</v>
      </c>
      <c r="F346" s="7" t="s">
        <v>166</v>
      </c>
      <c r="G346" s="7">
        <v>15048</v>
      </c>
      <c r="H346" s="7">
        <v>244</v>
      </c>
      <c r="I346" s="7">
        <v>14804</v>
      </c>
      <c r="J346" s="7">
        <v>4473357.58</v>
      </c>
      <c r="K346" s="7">
        <v>130532.29</v>
      </c>
      <c r="L346" s="7">
        <v>2581005.69</v>
      </c>
      <c r="M346" s="7">
        <v>4342825.29</v>
      </c>
      <c r="N346" s="20">
        <v>1761819.6</v>
      </c>
    </row>
    <row r="347" spans="3:14" x14ac:dyDescent="0.35">
      <c r="C347" s="19">
        <v>2016</v>
      </c>
      <c r="D347" s="7" t="s">
        <v>167</v>
      </c>
      <c r="E347" s="7" t="s">
        <v>168</v>
      </c>
      <c r="F347" s="7" t="s">
        <v>169</v>
      </c>
      <c r="G347" s="7">
        <v>14458</v>
      </c>
      <c r="H347" s="7">
        <v>211</v>
      </c>
      <c r="I347" s="7">
        <v>14247</v>
      </c>
      <c r="J347" s="7">
        <v>2661917.87</v>
      </c>
      <c r="K347" s="7">
        <v>67381.649999999994</v>
      </c>
      <c r="L347" s="7">
        <v>1500370.94</v>
      </c>
      <c r="M347" s="7">
        <v>2594536.2200000002</v>
      </c>
      <c r="N347" s="20">
        <v>1094165.28</v>
      </c>
    </row>
    <row r="348" spans="3:14" x14ac:dyDescent="0.35">
      <c r="C348" s="19">
        <v>2016</v>
      </c>
      <c r="D348" s="7" t="s">
        <v>172</v>
      </c>
      <c r="E348" s="7" t="s">
        <v>173</v>
      </c>
      <c r="F348" s="7" t="s">
        <v>173</v>
      </c>
      <c r="G348" s="7">
        <v>8730</v>
      </c>
      <c r="H348" s="7">
        <v>140</v>
      </c>
      <c r="I348" s="7">
        <v>8590</v>
      </c>
      <c r="J348" s="7">
        <v>1921257.17</v>
      </c>
      <c r="K348" s="7">
        <v>62908.81</v>
      </c>
      <c r="L348" s="7">
        <v>1106269.72</v>
      </c>
      <c r="M348" s="7">
        <v>1858348.36</v>
      </c>
      <c r="N348" s="20">
        <v>752078.64</v>
      </c>
    </row>
    <row r="349" spans="3:14" x14ac:dyDescent="0.35">
      <c r="C349" s="19">
        <v>2016</v>
      </c>
      <c r="D349" s="7" t="s">
        <v>167</v>
      </c>
      <c r="E349" s="7" t="s">
        <v>168</v>
      </c>
      <c r="F349" s="7" t="s">
        <v>170</v>
      </c>
      <c r="G349" s="7">
        <v>10350</v>
      </c>
      <c r="H349" s="7">
        <v>189</v>
      </c>
      <c r="I349" s="7">
        <v>10161</v>
      </c>
      <c r="J349" s="7">
        <v>1675321.17</v>
      </c>
      <c r="K349" s="7">
        <v>51332.11</v>
      </c>
      <c r="L349" s="7">
        <v>934950.2</v>
      </c>
      <c r="M349" s="7">
        <v>1623989.06</v>
      </c>
      <c r="N349" s="20">
        <v>689038.86</v>
      </c>
    </row>
    <row r="350" spans="3:14" x14ac:dyDescent="0.35">
      <c r="C350" s="19">
        <v>2016</v>
      </c>
      <c r="D350" s="7" t="s">
        <v>172</v>
      </c>
      <c r="E350" s="7" t="s">
        <v>174</v>
      </c>
      <c r="F350" s="7" t="s">
        <v>174</v>
      </c>
      <c r="G350" s="7">
        <v>6611</v>
      </c>
      <c r="H350" s="7">
        <v>101</v>
      </c>
      <c r="I350" s="7">
        <v>6510</v>
      </c>
      <c r="J350" s="7">
        <v>1600452.76</v>
      </c>
      <c r="K350" s="7">
        <v>47280.18</v>
      </c>
      <c r="L350" s="7">
        <v>925493.75</v>
      </c>
      <c r="M350" s="7">
        <v>1553172.58</v>
      </c>
      <c r="N350" s="20">
        <v>627678.82999999996</v>
      </c>
    </row>
    <row r="351" spans="3:14" x14ac:dyDescent="0.35">
      <c r="C351" s="19">
        <v>2016</v>
      </c>
      <c r="D351" s="7" t="s">
        <v>172</v>
      </c>
      <c r="E351" s="7" t="s">
        <v>175</v>
      </c>
      <c r="F351" s="7" t="s">
        <v>175</v>
      </c>
      <c r="G351" s="7">
        <v>6740</v>
      </c>
      <c r="H351" s="7">
        <v>104</v>
      </c>
      <c r="I351" s="7">
        <v>6636</v>
      </c>
      <c r="J351" s="7">
        <v>1555793.71</v>
      </c>
      <c r="K351" s="7">
        <v>37520.65</v>
      </c>
      <c r="L351" s="7">
        <v>893553.2</v>
      </c>
      <c r="M351" s="7">
        <v>1518273.06</v>
      </c>
      <c r="N351" s="20">
        <v>624719.86</v>
      </c>
    </row>
    <row r="352" spans="3:14" x14ac:dyDescent="0.35">
      <c r="C352" s="19">
        <v>2016</v>
      </c>
      <c r="D352" s="7" t="s">
        <v>167</v>
      </c>
      <c r="E352" s="7" t="s">
        <v>171</v>
      </c>
      <c r="F352" s="7" t="s">
        <v>171</v>
      </c>
      <c r="G352" s="7">
        <v>8853</v>
      </c>
      <c r="H352" s="7">
        <v>156</v>
      </c>
      <c r="I352" s="7">
        <v>8697</v>
      </c>
      <c r="J352" s="7">
        <v>872010.96</v>
      </c>
      <c r="K352" s="7">
        <v>16906.02</v>
      </c>
      <c r="L352" s="7">
        <v>474409.59</v>
      </c>
      <c r="M352" s="7">
        <v>855104.94</v>
      </c>
      <c r="N352" s="20">
        <v>380695.35</v>
      </c>
    </row>
    <row r="353" spans="3:14" x14ac:dyDescent="0.35">
      <c r="C353" s="19">
        <v>2016</v>
      </c>
      <c r="D353" s="7" t="s">
        <v>167</v>
      </c>
      <c r="E353" s="7" t="s">
        <v>168</v>
      </c>
      <c r="F353" s="7" t="s">
        <v>177</v>
      </c>
      <c r="G353" s="7">
        <v>35</v>
      </c>
      <c r="H353" s="7">
        <v>0</v>
      </c>
      <c r="I353" s="7">
        <v>35</v>
      </c>
      <c r="J353" s="7">
        <v>6259.15</v>
      </c>
      <c r="K353" s="7">
        <v>0</v>
      </c>
      <c r="L353" s="7">
        <v>3573.84</v>
      </c>
      <c r="M353" s="7">
        <v>6259.15</v>
      </c>
      <c r="N353" s="20">
        <v>2685.31</v>
      </c>
    </row>
    <row r="354" spans="3:14" x14ac:dyDescent="0.35">
      <c r="C354" s="19">
        <v>2016</v>
      </c>
      <c r="D354" s="7" t="s">
        <v>167</v>
      </c>
      <c r="E354" s="7" t="s">
        <v>168</v>
      </c>
      <c r="F354" s="7" t="s">
        <v>178</v>
      </c>
      <c r="G354" s="7">
        <v>30</v>
      </c>
      <c r="H354" s="7">
        <v>0</v>
      </c>
      <c r="I354" s="7">
        <v>30</v>
      </c>
      <c r="J354" s="7">
        <v>5280.3</v>
      </c>
      <c r="K354" s="7">
        <v>0</v>
      </c>
      <c r="L354" s="7">
        <v>2911.12</v>
      </c>
      <c r="M354" s="7">
        <v>5280.3</v>
      </c>
      <c r="N354" s="20">
        <v>2369.1799999999998</v>
      </c>
    </row>
    <row r="355" spans="3:14" x14ac:dyDescent="0.35">
      <c r="C355" s="19">
        <v>2016</v>
      </c>
      <c r="D355" s="7" t="s">
        <v>167</v>
      </c>
      <c r="E355" s="7" t="s">
        <v>168</v>
      </c>
      <c r="F355" s="7" t="s">
        <v>176</v>
      </c>
      <c r="G355" s="7">
        <v>18</v>
      </c>
      <c r="H355" s="7">
        <v>0</v>
      </c>
      <c r="I355" s="7">
        <v>18</v>
      </c>
      <c r="J355" s="7">
        <v>3792.7</v>
      </c>
      <c r="K355" s="7">
        <v>0</v>
      </c>
      <c r="L355" s="7">
        <v>2066.8000000000002</v>
      </c>
      <c r="M355" s="7">
        <v>3792.7</v>
      </c>
      <c r="N355" s="20">
        <v>1725.9</v>
      </c>
    </row>
    <row r="356" spans="3:14" x14ac:dyDescent="0.35">
      <c r="C356" s="19">
        <v>2017</v>
      </c>
      <c r="D356" s="7" t="s">
        <v>165</v>
      </c>
      <c r="E356" s="7" t="s">
        <v>166</v>
      </c>
      <c r="F356" s="7" t="s">
        <v>166</v>
      </c>
      <c r="G356" s="7">
        <v>19123</v>
      </c>
      <c r="H356" s="7">
        <v>303</v>
      </c>
      <c r="I356" s="7">
        <v>18820</v>
      </c>
      <c r="J356" s="7">
        <v>3851992.33</v>
      </c>
      <c r="K356" s="7">
        <v>102874.11</v>
      </c>
      <c r="L356" s="7">
        <v>2243177.71</v>
      </c>
      <c r="M356" s="7">
        <v>3749118.22</v>
      </c>
      <c r="N356" s="20">
        <v>1505940.51</v>
      </c>
    </row>
    <row r="357" spans="3:14" x14ac:dyDescent="0.35">
      <c r="C357" s="19">
        <v>2017</v>
      </c>
      <c r="D357" s="7" t="s">
        <v>167</v>
      </c>
      <c r="E357" s="7" t="s">
        <v>168</v>
      </c>
      <c r="F357" s="7" t="s">
        <v>169</v>
      </c>
      <c r="G357" s="7">
        <v>18891</v>
      </c>
      <c r="H357" s="7">
        <v>300</v>
      </c>
      <c r="I357" s="7">
        <v>18591</v>
      </c>
      <c r="J357" s="7">
        <v>3074470.41</v>
      </c>
      <c r="K357" s="7">
        <v>81518.05</v>
      </c>
      <c r="L357" s="7">
        <v>1742661.21</v>
      </c>
      <c r="M357" s="7">
        <v>2992952.36</v>
      </c>
      <c r="N357" s="20">
        <v>1250291.1499999999</v>
      </c>
    </row>
    <row r="358" spans="3:14" x14ac:dyDescent="0.35">
      <c r="C358" s="19">
        <v>2017</v>
      </c>
      <c r="D358" s="7" t="s">
        <v>167</v>
      </c>
      <c r="E358" s="7" t="s">
        <v>168</v>
      </c>
      <c r="F358" s="7" t="s">
        <v>170</v>
      </c>
      <c r="G358" s="7">
        <v>13506</v>
      </c>
      <c r="H358" s="7">
        <v>200</v>
      </c>
      <c r="I358" s="7">
        <v>13306</v>
      </c>
      <c r="J358" s="7">
        <v>2000560.67</v>
      </c>
      <c r="K358" s="7">
        <v>55129.120000000003</v>
      </c>
      <c r="L358" s="7">
        <v>1130066.5900000001</v>
      </c>
      <c r="M358" s="7">
        <v>1945431.55</v>
      </c>
      <c r="N358" s="20">
        <v>815364.96</v>
      </c>
    </row>
    <row r="359" spans="3:14" x14ac:dyDescent="0.35">
      <c r="C359" s="19">
        <v>2017</v>
      </c>
      <c r="D359" s="7" t="s">
        <v>172</v>
      </c>
      <c r="E359" s="7" t="s">
        <v>173</v>
      </c>
      <c r="F359" s="7" t="s">
        <v>173</v>
      </c>
      <c r="G359" s="7">
        <v>10154</v>
      </c>
      <c r="H359" s="7">
        <v>150</v>
      </c>
      <c r="I359" s="7">
        <v>10004</v>
      </c>
      <c r="J359" s="7">
        <v>1755864.17</v>
      </c>
      <c r="K359" s="7">
        <v>44613.31</v>
      </c>
      <c r="L359" s="7">
        <v>1005198.1</v>
      </c>
      <c r="M359" s="7">
        <v>1711250.86</v>
      </c>
      <c r="N359" s="20">
        <v>706052.76</v>
      </c>
    </row>
    <row r="360" spans="3:14" x14ac:dyDescent="0.35">
      <c r="C360" s="19">
        <v>2017</v>
      </c>
      <c r="D360" s="7" t="s">
        <v>172</v>
      </c>
      <c r="E360" s="7" t="s">
        <v>174</v>
      </c>
      <c r="F360" s="7" t="s">
        <v>174</v>
      </c>
      <c r="G360" s="7">
        <v>9062</v>
      </c>
      <c r="H360" s="7">
        <v>123</v>
      </c>
      <c r="I360" s="7">
        <v>8939</v>
      </c>
      <c r="J360" s="7">
        <v>1636182.34</v>
      </c>
      <c r="K360" s="7">
        <v>36939.120000000003</v>
      </c>
      <c r="L360" s="7">
        <v>932326.76</v>
      </c>
      <c r="M360" s="7">
        <v>1599243.22</v>
      </c>
      <c r="N360" s="20">
        <v>666916.46</v>
      </c>
    </row>
    <row r="361" spans="3:14" x14ac:dyDescent="0.35">
      <c r="C361" s="19">
        <v>2017</v>
      </c>
      <c r="D361" s="7" t="s">
        <v>172</v>
      </c>
      <c r="E361" s="7" t="s">
        <v>175</v>
      </c>
      <c r="F361" s="7" t="s">
        <v>175</v>
      </c>
      <c r="G361" s="7">
        <v>8667</v>
      </c>
      <c r="H361" s="7">
        <v>168</v>
      </c>
      <c r="I361" s="7">
        <v>8499</v>
      </c>
      <c r="J361" s="7">
        <v>1409495.49</v>
      </c>
      <c r="K361" s="7">
        <v>63578.12</v>
      </c>
      <c r="L361" s="7">
        <v>803153.8</v>
      </c>
      <c r="M361" s="7">
        <v>1345917.37</v>
      </c>
      <c r="N361" s="20">
        <v>542763.56999999995</v>
      </c>
    </row>
    <row r="362" spans="3:14" x14ac:dyDescent="0.35">
      <c r="C362" s="19">
        <v>2017</v>
      </c>
      <c r="D362" s="7" t="s">
        <v>167</v>
      </c>
      <c r="E362" s="7" t="s">
        <v>171</v>
      </c>
      <c r="F362" s="7" t="s">
        <v>171</v>
      </c>
      <c r="G362" s="7">
        <v>10922</v>
      </c>
      <c r="H362" s="7">
        <v>200</v>
      </c>
      <c r="I362" s="7">
        <v>10722</v>
      </c>
      <c r="J362" s="7">
        <v>1055955.6399999999</v>
      </c>
      <c r="K362" s="7">
        <v>22226.42</v>
      </c>
      <c r="L362" s="7">
        <v>582904.75</v>
      </c>
      <c r="M362" s="7">
        <v>1033729.22</v>
      </c>
      <c r="N362" s="20">
        <v>450824.47</v>
      </c>
    </row>
    <row r="363" spans="3:14" x14ac:dyDescent="0.35">
      <c r="C363" s="19">
        <v>2017</v>
      </c>
      <c r="D363" s="7" t="s">
        <v>167</v>
      </c>
      <c r="E363" s="7" t="s">
        <v>168</v>
      </c>
      <c r="F363" s="7" t="s">
        <v>176</v>
      </c>
      <c r="G363" s="7">
        <v>114</v>
      </c>
      <c r="H363" s="7">
        <v>2</v>
      </c>
      <c r="I363" s="7">
        <v>112</v>
      </c>
      <c r="J363" s="7">
        <v>15361.74</v>
      </c>
      <c r="K363" s="7">
        <v>65.2</v>
      </c>
      <c r="L363" s="7">
        <v>8698.27</v>
      </c>
      <c r="M363" s="7">
        <v>15296.54</v>
      </c>
      <c r="N363" s="20">
        <v>6598.27</v>
      </c>
    </row>
    <row r="364" spans="3:14" x14ac:dyDescent="0.35">
      <c r="C364" s="19">
        <v>2017</v>
      </c>
      <c r="D364" s="7" t="s">
        <v>167</v>
      </c>
      <c r="E364" s="7" t="s">
        <v>168</v>
      </c>
      <c r="F364" s="7" t="s">
        <v>177</v>
      </c>
      <c r="G364" s="7">
        <v>47</v>
      </c>
      <c r="H364" s="7">
        <v>0</v>
      </c>
      <c r="I364" s="7">
        <v>47</v>
      </c>
      <c r="J364" s="7">
        <v>3024.07</v>
      </c>
      <c r="K364" s="7">
        <v>0</v>
      </c>
      <c r="L364" s="7">
        <v>1479.78</v>
      </c>
      <c r="M364" s="7">
        <v>3024.07</v>
      </c>
      <c r="N364" s="20">
        <v>1544.29</v>
      </c>
    </row>
    <row r="365" spans="3:14" x14ac:dyDescent="0.35">
      <c r="C365" s="21">
        <v>2017</v>
      </c>
      <c r="D365" s="22" t="s">
        <v>167</v>
      </c>
      <c r="E365" s="22" t="s">
        <v>168</v>
      </c>
      <c r="F365" s="22" t="s">
        <v>178</v>
      </c>
      <c r="G365" s="22">
        <v>24</v>
      </c>
      <c r="H365" s="22">
        <v>0</v>
      </c>
      <c r="I365" s="22">
        <v>24</v>
      </c>
      <c r="J365" s="22">
        <v>449.2</v>
      </c>
      <c r="K365" s="22">
        <v>0</v>
      </c>
      <c r="L365" s="22">
        <v>190.09</v>
      </c>
      <c r="M365" s="22">
        <v>449.2</v>
      </c>
      <c r="N365" s="23">
        <v>259.11</v>
      </c>
    </row>
    <row r="366" spans="3:14" x14ac:dyDescent="0.35">
      <c r="C366" s="7"/>
      <c r="D366" s="7"/>
      <c r="E366" s="7"/>
      <c r="F366" s="7"/>
      <c r="G366" s="7"/>
      <c r="H366" s="7"/>
      <c r="I366" s="7"/>
      <c r="J366" s="7"/>
      <c r="K366" s="7"/>
      <c r="L366" s="7"/>
      <c r="M366" s="7"/>
    </row>
    <row r="367" spans="3:14" x14ac:dyDescent="0.35">
      <c r="C367" s="7"/>
      <c r="D367" s="7"/>
      <c r="E367" s="7"/>
      <c r="F367" s="7"/>
      <c r="G367" s="7"/>
      <c r="H367" s="7"/>
      <c r="I367" s="7"/>
      <c r="J367" s="7"/>
      <c r="K367" s="7"/>
      <c r="L367" s="7"/>
      <c r="M367" s="7"/>
    </row>
    <row r="369" spans="3:13" x14ac:dyDescent="0.35">
      <c r="C369" s="103" t="s">
        <v>164</v>
      </c>
      <c r="D369" s="104"/>
      <c r="E369" s="104"/>
      <c r="F369" s="104"/>
      <c r="G369" s="104"/>
      <c r="H369" s="104"/>
      <c r="I369" s="104"/>
      <c r="J369" s="104"/>
      <c r="K369" s="104"/>
      <c r="L369" s="105"/>
    </row>
    <row r="370" spans="3:13" x14ac:dyDescent="0.35">
      <c r="C370" s="106"/>
      <c r="D370" s="107"/>
      <c r="E370" s="107"/>
      <c r="F370" s="107"/>
      <c r="G370" s="107"/>
      <c r="H370" s="107"/>
      <c r="I370" s="107"/>
      <c r="J370" s="107"/>
      <c r="K370" s="107"/>
      <c r="L370" s="108"/>
    </row>
    <row r="371" spans="3:13" ht="28.5" x14ac:dyDescent="0.35">
      <c r="C371" s="69"/>
      <c r="D371" s="69"/>
      <c r="E371" s="69"/>
      <c r="F371" s="69"/>
      <c r="G371" s="69"/>
      <c r="H371" s="69"/>
      <c r="I371" s="69"/>
      <c r="J371" s="69"/>
      <c r="K371" s="69"/>
      <c r="L371" s="69"/>
    </row>
    <row r="372" spans="3:13" x14ac:dyDescent="0.35">
      <c r="C372" s="6" t="s">
        <v>179</v>
      </c>
      <c r="D372" s="6" t="s">
        <v>180</v>
      </c>
      <c r="E372" s="6" t="s">
        <v>181</v>
      </c>
      <c r="F372" s="6" t="s">
        <v>130</v>
      </c>
      <c r="G372" s="6" t="s">
        <v>267</v>
      </c>
      <c r="H372" s="6" t="s">
        <v>50</v>
      </c>
      <c r="I372" s="6" t="s">
        <v>51</v>
      </c>
      <c r="J372" s="6" t="s">
        <v>112</v>
      </c>
      <c r="K372" s="6" t="s">
        <v>182</v>
      </c>
      <c r="L372" s="6" t="s">
        <v>114</v>
      </c>
      <c r="M372" s="6" t="s">
        <v>183</v>
      </c>
    </row>
    <row r="373" spans="3:13" x14ac:dyDescent="0.35">
      <c r="C373" s="19" t="s">
        <v>165</v>
      </c>
      <c r="D373" s="7" t="s">
        <v>166</v>
      </c>
      <c r="E373" s="7" t="s">
        <v>166</v>
      </c>
      <c r="F373" s="7">
        <v>12409</v>
      </c>
      <c r="G373" s="7">
        <v>400</v>
      </c>
      <c r="H373" s="7">
        <v>35459</v>
      </c>
      <c r="I373" s="7">
        <v>600</v>
      </c>
      <c r="J373" s="7">
        <v>11539754.460000001</v>
      </c>
      <c r="K373" s="7">
        <v>370724.09</v>
      </c>
      <c r="L373" s="7">
        <v>11169030.369999999</v>
      </c>
      <c r="M373" s="20">
        <v>3.2000000000000001E-2</v>
      </c>
    </row>
    <row r="374" spans="3:13" x14ac:dyDescent="0.35">
      <c r="C374" s="19" t="s">
        <v>167</v>
      </c>
      <c r="D374" s="7" t="s">
        <v>168</v>
      </c>
      <c r="E374" s="7" t="s">
        <v>169</v>
      </c>
      <c r="F374" s="7">
        <v>11463</v>
      </c>
      <c r="G374" s="7">
        <v>354</v>
      </c>
      <c r="H374" s="7">
        <v>34116</v>
      </c>
      <c r="I374" s="7">
        <v>531</v>
      </c>
      <c r="J374" s="7">
        <v>7608385.5700000003</v>
      </c>
      <c r="K374" s="7">
        <v>198225.49</v>
      </c>
      <c r="L374" s="7">
        <v>7410160.0800000001</v>
      </c>
      <c r="M374" s="20">
        <v>3.1E-2</v>
      </c>
    </row>
    <row r="375" spans="3:13" x14ac:dyDescent="0.35">
      <c r="C375" s="19" t="s">
        <v>167</v>
      </c>
      <c r="D375" s="7" t="s">
        <v>168</v>
      </c>
      <c r="E375" s="7" t="s">
        <v>170</v>
      </c>
      <c r="F375" s="7">
        <v>8267</v>
      </c>
      <c r="G375" s="7">
        <v>269</v>
      </c>
      <c r="H375" s="7">
        <v>24360</v>
      </c>
      <c r="I375" s="7">
        <v>400</v>
      </c>
      <c r="J375" s="7">
        <v>4943970.42</v>
      </c>
      <c r="K375" s="7">
        <v>135629.07</v>
      </c>
      <c r="L375" s="7">
        <v>4808341.3499999996</v>
      </c>
      <c r="M375" s="20">
        <v>3.3000000000000002E-2</v>
      </c>
    </row>
    <row r="376" spans="3:13" x14ac:dyDescent="0.35">
      <c r="C376" s="19" t="s">
        <v>172</v>
      </c>
      <c r="D376" s="7" t="s">
        <v>173</v>
      </c>
      <c r="E376" s="7" t="s">
        <v>173</v>
      </c>
      <c r="F376" s="7">
        <v>6423</v>
      </c>
      <c r="G376" s="7">
        <v>204</v>
      </c>
      <c r="H376" s="7">
        <v>19274</v>
      </c>
      <c r="I376" s="7">
        <v>301</v>
      </c>
      <c r="J376" s="7">
        <v>4532603.43</v>
      </c>
      <c r="K376" s="7">
        <v>132124.75</v>
      </c>
      <c r="L376" s="7">
        <v>4400478.68</v>
      </c>
      <c r="M376" s="20">
        <v>3.2000000000000001E-2</v>
      </c>
    </row>
    <row r="377" spans="3:13" x14ac:dyDescent="0.35">
      <c r="C377" s="19" t="s">
        <v>172</v>
      </c>
      <c r="D377" s="7" t="s">
        <v>174</v>
      </c>
      <c r="E377" s="7" t="s">
        <v>174</v>
      </c>
      <c r="F377" s="7">
        <v>5289</v>
      </c>
      <c r="G377" s="7">
        <v>161</v>
      </c>
      <c r="H377" s="7">
        <v>16009</v>
      </c>
      <c r="I377" s="7">
        <v>246</v>
      </c>
      <c r="J377" s="7">
        <v>3979001.01</v>
      </c>
      <c r="K377" s="7">
        <v>125765.41</v>
      </c>
      <c r="L377" s="7">
        <v>3853235.6</v>
      </c>
      <c r="M377" s="20">
        <v>0.03</v>
      </c>
    </row>
    <row r="378" spans="3:13" x14ac:dyDescent="0.35">
      <c r="C378" s="19" t="s">
        <v>172</v>
      </c>
      <c r="D378" s="7" t="s">
        <v>175</v>
      </c>
      <c r="E378" s="7" t="s">
        <v>175</v>
      </c>
      <c r="F378" s="7">
        <v>5239</v>
      </c>
      <c r="G378" s="7">
        <v>186</v>
      </c>
      <c r="H378" s="7">
        <v>15753</v>
      </c>
      <c r="I378" s="7">
        <v>278</v>
      </c>
      <c r="J378" s="7">
        <v>3716316.29</v>
      </c>
      <c r="K378" s="7">
        <v>121433.47</v>
      </c>
      <c r="L378" s="7">
        <v>3594882.82</v>
      </c>
      <c r="M378" s="20">
        <v>3.5999999999999997E-2</v>
      </c>
    </row>
    <row r="379" spans="3:13" x14ac:dyDescent="0.35">
      <c r="C379" s="19" t="s">
        <v>167</v>
      </c>
      <c r="D379" s="7" t="s">
        <v>171</v>
      </c>
      <c r="E379" s="7" t="s">
        <v>171</v>
      </c>
      <c r="F379" s="7">
        <v>6875</v>
      </c>
      <c r="G379" s="7">
        <v>234</v>
      </c>
      <c r="H379" s="7">
        <v>20115</v>
      </c>
      <c r="I379" s="7">
        <v>367</v>
      </c>
      <c r="J379" s="7">
        <v>2852063.9</v>
      </c>
      <c r="K379" s="7">
        <v>70852.33</v>
      </c>
      <c r="L379" s="7">
        <v>2781211.57</v>
      </c>
      <c r="M379" s="20">
        <v>3.4000000000000002E-2</v>
      </c>
    </row>
    <row r="380" spans="3:13" x14ac:dyDescent="0.35">
      <c r="C380" s="19" t="s">
        <v>167</v>
      </c>
      <c r="D380" s="7" t="s">
        <v>168</v>
      </c>
      <c r="E380" s="7" t="s">
        <v>176</v>
      </c>
      <c r="F380" s="7">
        <v>34</v>
      </c>
      <c r="G380" s="7">
        <v>1</v>
      </c>
      <c r="H380" s="7">
        <v>134</v>
      </c>
      <c r="I380" s="7">
        <v>2</v>
      </c>
      <c r="J380" s="7">
        <v>20552.63</v>
      </c>
      <c r="K380" s="7">
        <v>65.2</v>
      </c>
      <c r="L380" s="7">
        <v>20487.43</v>
      </c>
      <c r="M380" s="20">
        <v>2.9000000000000001E-2</v>
      </c>
    </row>
    <row r="381" spans="3:13" x14ac:dyDescent="0.35">
      <c r="C381" s="19" t="s">
        <v>167</v>
      </c>
      <c r="D381" s="7" t="s">
        <v>168</v>
      </c>
      <c r="E381" s="7" t="s">
        <v>177</v>
      </c>
      <c r="F381" s="7">
        <v>27</v>
      </c>
      <c r="G381" s="7">
        <v>0</v>
      </c>
      <c r="H381" s="7">
        <v>82</v>
      </c>
      <c r="I381" s="7">
        <v>0</v>
      </c>
      <c r="J381" s="7">
        <v>9283.2199999999993</v>
      </c>
      <c r="K381" s="7">
        <v>0</v>
      </c>
      <c r="L381" s="7">
        <v>9283.2199999999993</v>
      </c>
      <c r="M381" s="20">
        <v>0</v>
      </c>
    </row>
    <row r="382" spans="3:13" x14ac:dyDescent="0.35">
      <c r="C382" s="21" t="s">
        <v>167</v>
      </c>
      <c r="D382" s="22" t="s">
        <v>168</v>
      </c>
      <c r="E382" s="22" t="s">
        <v>178</v>
      </c>
      <c r="F382" s="22">
        <v>20</v>
      </c>
      <c r="G382" s="22">
        <v>0</v>
      </c>
      <c r="H382" s="22">
        <v>54</v>
      </c>
      <c r="I382" s="22">
        <v>0</v>
      </c>
      <c r="J382" s="22">
        <v>5729.5</v>
      </c>
      <c r="K382" s="22">
        <v>0</v>
      </c>
      <c r="L382" s="22">
        <v>5729.5</v>
      </c>
      <c r="M382" s="23">
        <v>0</v>
      </c>
    </row>
    <row r="383" spans="3:13" x14ac:dyDescent="0.35">
      <c r="C383" s="7"/>
      <c r="D383" s="7"/>
      <c r="E383" s="7"/>
      <c r="F383" s="7"/>
      <c r="G383" s="7"/>
      <c r="H383" s="7"/>
      <c r="I383" s="7"/>
      <c r="J383" s="7"/>
      <c r="K383" s="7"/>
      <c r="L383" s="7"/>
      <c r="M383" s="7"/>
    </row>
    <row r="384" spans="3:13" x14ac:dyDescent="0.35">
      <c r="C384" s="7"/>
    </row>
    <row r="386" spans="3:13" x14ac:dyDescent="0.35">
      <c r="D386" s="110" t="s">
        <v>282</v>
      </c>
      <c r="E386" s="110"/>
      <c r="F386" s="110"/>
      <c r="G386" s="110"/>
      <c r="H386" s="110"/>
      <c r="I386" s="110"/>
      <c r="J386" s="110"/>
      <c r="K386" s="110"/>
      <c r="L386" s="110"/>
    </row>
    <row r="387" spans="3:13" x14ac:dyDescent="0.35">
      <c r="D387" s="110"/>
      <c r="E387" s="110"/>
      <c r="F387" s="110"/>
      <c r="G387" s="110"/>
      <c r="H387" s="110"/>
      <c r="I387" s="110"/>
      <c r="J387" s="110"/>
      <c r="K387" s="110"/>
      <c r="L387" s="110"/>
    </row>
    <row r="389" spans="3:13" x14ac:dyDescent="0.35">
      <c r="C389" s="76" t="s">
        <v>0</v>
      </c>
      <c r="D389" s="77" t="s">
        <v>179</v>
      </c>
      <c r="E389" s="77" t="s">
        <v>180</v>
      </c>
      <c r="F389" s="77" t="s">
        <v>181</v>
      </c>
      <c r="G389" s="77" t="s">
        <v>35</v>
      </c>
      <c r="H389" s="77" t="s">
        <v>50</v>
      </c>
      <c r="I389" s="77" t="s">
        <v>51</v>
      </c>
      <c r="J389" s="77" t="s">
        <v>270</v>
      </c>
      <c r="K389" s="77" t="s">
        <v>112</v>
      </c>
      <c r="L389" s="77" t="s">
        <v>271</v>
      </c>
      <c r="M389" s="78" t="s">
        <v>114</v>
      </c>
    </row>
    <row r="390" spans="3:13" x14ac:dyDescent="0.35">
      <c r="C390" s="17">
        <v>2015</v>
      </c>
      <c r="D390" s="17" t="s">
        <v>165</v>
      </c>
      <c r="E390" s="17" t="s">
        <v>166</v>
      </c>
      <c r="F390" s="17" t="s">
        <v>166</v>
      </c>
      <c r="G390" s="17" t="s">
        <v>2</v>
      </c>
      <c r="H390" s="17">
        <v>1288</v>
      </c>
      <c r="I390" s="17">
        <v>53</v>
      </c>
      <c r="J390" s="17">
        <v>1235</v>
      </c>
      <c r="K390" s="17">
        <v>3214404.55</v>
      </c>
      <c r="L390" s="17">
        <v>137317.69</v>
      </c>
      <c r="M390" s="17">
        <v>3077086.86</v>
      </c>
    </row>
    <row r="391" spans="3:13" x14ac:dyDescent="0.35">
      <c r="C391" s="7">
        <v>2015</v>
      </c>
      <c r="D391" s="7" t="s">
        <v>167</v>
      </c>
      <c r="E391" s="7" t="s">
        <v>168</v>
      </c>
      <c r="F391" s="7" t="s">
        <v>169</v>
      </c>
      <c r="G391" s="7" t="s">
        <v>2</v>
      </c>
      <c r="H391" s="7">
        <v>767</v>
      </c>
      <c r="I391" s="7">
        <v>20</v>
      </c>
      <c r="J391" s="7">
        <v>747</v>
      </c>
      <c r="K391" s="7">
        <v>1871997.3</v>
      </c>
      <c r="L391" s="7">
        <v>49325.79</v>
      </c>
      <c r="M391" s="7">
        <v>1822671.51</v>
      </c>
    </row>
    <row r="392" spans="3:13" x14ac:dyDescent="0.35">
      <c r="C392" s="7">
        <v>2015</v>
      </c>
      <c r="D392" s="7" t="s">
        <v>167</v>
      </c>
      <c r="E392" s="7" t="s">
        <v>168</v>
      </c>
      <c r="F392" s="7" t="s">
        <v>170</v>
      </c>
      <c r="G392" s="7" t="s">
        <v>2</v>
      </c>
      <c r="H392" s="7">
        <v>504</v>
      </c>
      <c r="I392" s="7">
        <v>11</v>
      </c>
      <c r="J392" s="7">
        <v>493</v>
      </c>
      <c r="K392" s="7">
        <v>1268088.58</v>
      </c>
      <c r="L392" s="7">
        <v>29167.83</v>
      </c>
      <c r="M392" s="7">
        <v>1238920.75</v>
      </c>
    </row>
    <row r="393" spans="3:13" x14ac:dyDescent="0.35">
      <c r="C393" s="7">
        <v>2015</v>
      </c>
      <c r="D393" s="7" t="s">
        <v>167</v>
      </c>
      <c r="E393" s="7" t="s">
        <v>171</v>
      </c>
      <c r="F393" s="7" t="s">
        <v>171</v>
      </c>
      <c r="G393" s="7" t="s">
        <v>2</v>
      </c>
      <c r="H393" s="7">
        <v>340</v>
      </c>
      <c r="I393" s="7">
        <v>11</v>
      </c>
      <c r="J393" s="7">
        <v>329</v>
      </c>
      <c r="K393" s="7">
        <v>924097.3</v>
      </c>
      <c r="L393" s="7">
        <v>31719.88</v>
      </c>
      <c r="M393" s="7">
        <v>892377.42</v>
      </c>
    </row>
    <row r="394" spans="3:13" x14ac:dyDescent="0.35">
      <c r="C394" s="7">
        <v>2015</v>
      </c>
      <c r="D394" s="7" t="s">
        <v>172</v>
      </c>
      <c r="E394" s="7" t="s">
        <v>173</v>
      </c>
      <c r="F394" s="7" t="s">
        <v>173</v>
      </c>
      <c r="G394" s="7" t="s">
        <v>2</v>
      </c>
      <c r="H394" s="7">
        <v>390</v>
      </c>
      <c r="I394" s="7">
        <v>11</v>
      </c>
      <c r="J394" s="7">
        <v>379</v>
      </c>
      <c r="K394" s="7">
        <v>855482.09</v>
      </c>
      <c r="L394" s="7">
        <v>24602.639999999999</v>
      </c>
      <c r="M394" s="7">
        <v>830879.45</v>
      </c>
    </row>
    <row r="395" spans="3:13" x14ac:dyDescent="0.35">
      <c r="C395" s="7">
        <v>2015</v>
      </c>
      <c r="D395" s="7" t="s">
        <v>172</v>
      </c>
      <c r="E395" s="7" t="s">
        <v>175</v>
      </c>
      <c r="F395" s="7" t="s">
        <v>175</v>
      </c>
      <c r="G395" s="7" t="s">
        <v>2</v>
      </c>
      <c r="H395" s="7">
        <v>346</v>
      </c>
      <c r="I395" s="7">
        <v>6</v>
      </c>
      <c r="J395" s="7">
        <v>340</v>
      </c>
      <c r="K395" s="7">
        <v>751027.09</v>
      </c>
      <c r="L395" s="7">
        <v>20334.7</v>
      </c>
      <c r="M395" s="7">
        <v>730692.39</v>
      </c>
    </row>
    <row r="396" spans="3:13" x14ac:dyDescent="0.35">
      <c r="C396" s="7">
        <v>2015</v>
      </c>
      <c r="D396" s="7" t="s">
        <v>172</v>
      </c>
      <c r="E396" s="7" t="s">
        <v>174</v>
      </c>
      <c r="F396" s="7" t="s">
        <v>174</v>
      </c>
      <c r="G396" s="7" t="s">
        <v>2</v>
      </c>
      <c r="H396" s="7">
        <v>336</v>
      </c>
      <c r="I396" s="7">
        <v>22</v>
      </c>
      <c r="J396" s="7">
        <v>314</v>
      </c>
      <c r="K396" s="7">
        <v>742365.9</v>
      </c>
      <c r="L396" s="7">
        <v>41546.11</v>
      </c>
      <c r="M396" s="7">
        <v>700819.79</v>
      </c>
    </row>
    <row r="397" spans="3:13" x14ac:dyDescent="0.35">
      <c r="C397" s="7">
        <v>2015</v>
      </c>
      <c r="D397" s="7" t="s">
        <v>167</v>
      </c>
      <c r="E397" s="7" t="s">
        <v>168</v>
      </c>
      <c r="F397" s="7" t="s">
        <v>176</v>
      </c>
      <c r="G397" s="7" t="s">
        <v>2</v>
      </c>
      <c r="H397" s="7">
        <v>2</v>
      </c>
      <c r="I397" s="7">
        <v>0</v>
      </c>
      <c r="J397" s="7">
        <v>2</v>
      </c>
      <c r="K397" s="7">
        <v>1398.2</v>
      </c>
      <c r="L397" s="7">
        <v>0</v>
      </c>
      <c r="M397" s="7">
        <v>1398.2</v>
      </c>
    </row>
    <row r="398" spans="3:13" x14ac:dyDescent="0.35">
      <c r="C398" s="7">
        <v>2016</v>
      </c>
      <c r="D398" s="7" t="s">
        <v>165</v>
      </c>
      <c r="E398" s="7" t="s">
        <v>166</v>
      </c>
      <c r="F398" s="7" t="s">
        <v>166</v>
      </c>
      <c r="G398" s="7" t="s">
        <v>2</v>
      </c>
      <c r="H398" s="7">
        <v>2510</v>
      </c>
      <c r="I398" s="7">
        <v>77</v>
      </c>
      <c r="J398" s="7">
        <v>2433</v>
      </c>
      <c r="K398" s="7">
        <v>4172208.01</v>
      </c>
      <c r="L398" s="7">
        <v>126516.42</v>
      </c>
      <c r="M398" s="7">
        <v>4045691.59</v>
      </c>
    </row>
    <row r="399" spans="3:13" x14ac:dyDescent="0.35">
      <c r="C399" s="7">
        <v>2016</v>
      </c>
      <c r="D399" s="7" t="s">
        <v>167</v>
      </c>
      <c r="E399" s="7" t="s">
        <v>168</v>
      </c>
      <c r="F399" s="7" t="s">
        <v>169</v>
      </c>
      <c r="G399" s="7" t="s">
        <v>2</v>
      </c>
      <c r="H399" s="7">
        <v>1593</v>
      </c>
      <c r="I399" s="7">
        <v>40</v>
      </c>
      <c r="J399" s="7">
        <v>1553</v>
      </c>
      <c r="K399" s="7">
        <v>2348263.88</v>
      </c>
      <c r="L399" s="7">
        <v>63257.39</v>
      </c>
      <c r="M399" s="7">
        <v>2285006.4900000002</v>
      </c>
    </row>
    <row r="400" spans="3:13" x14ac:dyDescent="0.35">
      <c r="C400" s="7">
        <v>2016</v>
      </c>
      <c r="D400" s="7" t="s">
        <v>172</v>
      </c>
      <c r="E400" s="7" t="s">
        <v>173</v>
      </c>
      <c r="F400" s="7" t="s">
        <v>173</v>
      </c>
      <c r="G400" s="7" t="s">
        <v>2</v>
      </c>
      <c r="H400" s="7">
        <v>1152</v>
      </c>
      <c r="I400" s="7">
        <v>37</v>
      </c>
      <c r="J400" s="7">
        <v>1115</v>
      </c>
      <c r="K400" s="7">
        <v>1748994.18</v>
      </c>
      <c r="L400" s="7">
        <v>61063.05</v>
      </c>
      <c r="M400" s="7">
        <v>1687931.13</v>
      </c>
    </row>
    <row r="401" spans="3:13" x14ac:dyDescent="0.35">
      <c r="C401" s="7">
        <v>2016</v>
      </c>
      <c r="D401" s="7" t="s">
        <v>172</v>
      </c>
      <c r="E401" s="7" t="s">
        <v>174</v>
      </c>
      <c r="F401" s="7" t="s">
        <v>174</v>
      </c>
      <c r="G401" s="7" t="s">
        <v>2</v>
      </c>
      <c r="H401" s="7">
        <v>928</v>
      </c>
      <c r="I401" s="7">
        <v>28</v>
      </c>
      <c r="J401" s="7">
        <v>900</v>
      </c>
      <c r="K401" s="7">
        <v>1472509.64</v>
      </c>
      <c r="L401" s="7">
        <v>45826.95</v>
      </c>
      <c r="M401" s="7">
        <v>1426682.69</v>
      </c>
    </row>
    <row r="402" spans="3:13" x14ac:dyDescent="0.35">
      <c r="C402" s="7">
        <v>2016</v>
      </c>
      <c r="D402" s="7" t="s">
        <v>167</v>
      </c>
      <c r="E402" s="7" t="s">
        <v>168</v>
      </c>
      <c r="F402" s="7" t="s">
        <v>170</v>
      </c>
      <c r="G402" s="7" t="s">
        <v>2</v>
      </c>
      <c r="H402" s="7">
        <v>1008</v>
      </c>
      <c r="I402" s="7">
        <v>39</v>
      </c>
      <c r="J402" s="7">
        <v>969</v>
      </c>
      <c r="K402" s="7">
        <v>1443569.91</v>
      </c>
      <c r="L402" s="7">
        <v>48160.59</v>
      </c>
      <c r="M402" s="7">
        <v>1395409.32</v>
      </c>
    </row>
    <row r="403" spans="3:13" x14ac:dyDescent="0.35">
      <c r="C403" s="7">
        <v>2016</v>
      </c>
      <c r="D403" s="7" t="s">
        <v>172</v>
      </c>
      <c r="E403" s="7" t="s">
        <v>175</v>
      </c>
      <c r="F403" s="7" t="s">
        <v>175</v>
      </c>
      <c r="G403" s="7" t="s">
        <v>2</v>
      </c>
      <c r="H403" s="7">
        <v>886</v>
      </c>
      <c r="I403" s="7">
        <v>24</v>
      </c>
      <c r="J403" s="7">
        <v>862</v>
      </c>
      <c r="K403" s="7">
        <v>1419167.73</v>
      </c>
      <c r="L403" s="7">
        <v>35727.69</v>
      </c>
      <c r="M403" s="7">
        <v>1383440.04</v>
      </c>
    </row>
    <row r="404" spans="3:13" x14ac:dyDescent="0.35">
      <c r="C404" s="7">
        <v>2016</v>
      </c>
      <c r="D404" s="7" t="s">
        <v>167</v>
      </c>
      <c r="E404" s="7" t="s">
        <v>171</v>
      </c>
      <c r="F404" s="7" t="s">
        <v>171</v>
      </c>
      <c r="G404" s="7" t="s">
        <v>2</v>
      </c>
      <c r="H404" s="7">
        <v>455</v>
      </c>
      <c r="I404" s="7">
        <v>14</v>
      </c>
      <c r="J404" s="7">
        <v>441</v>
      </c>
      <c r="K404" s="7">
        <v>676714.01</v>
      </c>
      <c r="L404" s="7">
        <v>13875.68</v>
      </c>
      <c r="M404" s="7">
        <v>662838.32999999996</v>
      </c>
    </row>
    <row r="405" spans="3:13" x14ac:dyDescent="0.35">
      <c r="C405" s="7">
        <v>2016</v>
      </c>
      <c r="D405" s="7" t="s">
        <v>167</v>
      </c>
      <c r="E405" s="7" t="s">
        <v>168</v>
      </c>
      <c r="F405" s="7" t="s">
        <v>169</v>
      </c>
      <c r="G405" s="7" t="s">
        <v>3</v>
      </c>
      <c r="H405" s="7">
        <v>9922</v>
      </c>
      <c r="I405" s="7">
        <v>140</v>
      </c>
      <c r="J405" s="7">
        <v>9782</v>
      </c>
      <c r="K405" s="7">
        <v>209172.2</v>
      </c>
      <c r="L405" s="7">
        <v>3113.52</v>
      </c>
      <c r="M405" s="7">
        <v>206058.68</v>
      </c>
    </row>
    <row r="406" spans="3:13" x14ac:dyDescent="0.35">
      <c r="C406" s="7">
        <v>2016</v>
      </c>
      <c r="D406" s="7" t="s">
        <v>165</v>
      </c>
      <c r="E406" s="7" t="s">
        <v>166</v>
      </c>
      <c r="F406" s="7" t="s">
        <v>166</v>
      </c>
      <c r="G406" s="7" t="s">
        <v>3</v>
      </c>
      <c r="H406" s="7">
        <v>9639</v>
      </c>
      <c r="I406" s="7">
        <v>136</v>
      </c>
      <c r="J406" s="7">
        <v>9503</v>
      </c>
      <c r="K406" s="7">
        <v>197763.27</v>
      </c>
      <c r="L406" s="7">
        <v>2794.29</v>
      </c>
      <c r="M406" s="7">
        <v>194968.98</v>
      </c>
    </row>
    <row r="407" spans="3:13" x14ac:dyDescent="0.35">
      <c r="C407" s="7">
        <v>2016</v>
      </c>
      <c r="D407" s="7" t="s">
        <v>167</v>
      </c>
      <c r="E407" s="7" t="s">
        <v>168</v>
      </c>
      <c r="F407" s="7" t="s">
        <v>170</v>
      </c>
      <c r="G407" s="7" t="s">
        <v>3</v>
      </c>
      <c r="H407" s="7">
        <v>7266</v>
      </c>
      <c r="I407" s="7">
        <v>133</v>
      </c>
      <c r="J407" s="7">
        <v>7133</v>
      </c>
      <c r="K407" s="7">
        <v>154597.73000000001</v>
      </c>
      <c r="L407" s="7">
        <v>2561.35</v>
      </c>
      <c r="M407" s="7">
        <v>152036.38</v>
      </c>
    </row>
    <row r="408" spans="3:13" x14ac:dyDescent="0.35">
      <c r="C408" s="7">
        <v>2016</v>
      </c>
      <c r="D408" s="7" t="s">
        <v>167</v>
      </c>
      <c r="E408" s="7" t="s">
        <v>171</v>
      </c>
      <c r="F408" s="7" t="s">
        <v>171</v>
      </c>
      <c r="G408" s="7" t="s">
        <v>3</v>
      </c>
      <c r="H408" s="7">
        <v>6687</v>
      </c>
      <c r="I408" s="7">
        <v>110</v>
      </c>
      <c r="J408" s="7">
        <v>6577</v>
      </c>
      <c r="K408" s="7">
        <v>134144.12</v>
      </c>
      <c r="L408" s="7">
        <v>1626.96</v>
      </c>
      <c r="M408" s="7">
        <v>132517.16</v>
      </c>
    </row>
    <row r="409" spans="3:13" x14ac:dyDescent="0.35">
      <c r="C409" s="7">
        <v>2016</v>
      </c>
      <c r="D409" s="7" t="s">
        <v>172</v>
      </c>
      <c r="E409" s="7" t="s">
        <v>173</v>
      </c>
      <c r="F409" s="7" t="s">
        <v>173</v>
      </c>
      <c r="G409" s="7" t="s">
        <v>3</v>
      </c>
      <c r="H409" s="7">
        <v>5831</v>
      </c>
      <c r="I409" s="7">
        <v>87</v>
      </c>
      <c r="J409" s="7">
        <v>5744</v>
      </c>
      <c r="K409" s="7">
        <v>116785.42</v>
      </c>
      <c r="L409" s="7">
        <v>1296.19</v>
      </c>
      <c r="M409" s="7">
        <v>115489.23</v>
      </c>
    </row>
    <row r="410" spans="3:13" x14ac:dyDescent="0.35">
      <c r="C410" s="7">
        <v>2016</v>
      </c>
      <c r="D410" s="7" t="s">
        <v>167</v>
      </c>
      <c r="E410" s="7" t="s">
        <v>168</v>
      </c>
      <c r="F410" s="7" t="s">
        <v>169</v>
      </c>
      <c r="G410" s="7" t="s">
        <v>21</v>
      </c>
      <c r="H410" s="7">
        <v>2943</v>
      </c>
      <c r="I410" s="7">
        <v>31</v>
      </c>
      <c r="J410" s="7">
        <v>2912</v>
      </c>
      <c r="K410" s="7">
        <v>104481.79</v>
      </c>
      <c r="L410" s="7">
        <v>1010.74</v>
      </c>
      <c r="M410" s="7">
        <v>103471.05</v>
      </c>
    </row>
    <row r="411" spans="3:13" x14ac:dyDescent="0.35">
      <c r="C411" s="7">
        <v>2016</v>
      </c>
      <c r="D411" s="7" t="s">
        <v>165</v>
      </c>
      <c r="E411" s="7" t="s">
        <v>166</v>
      </c>
      <c r="F411" s="7" t="s">
        <v>166</v>
      </c>
      <c r="G411" s="7" t="s">
        <v>21</v>
      </c>
      <c r="H411" s="7">
        <v>2899</v>
      </c>
      <c r="I411" s="7">
        <v>31</v>
      </c>
      <c r="J411" s="7">
        <v>2868</v>
      </c>
      <c r="K411" s="7">
        <v>103386.3</v>
      </c>
      <c r="L411" s="7">
        <v>1221.58</v>
      </c>
      <c r="M411" s="7">
        <v>102164.72</v>
      </c>
    </row>
    <row r="412" spans="3:13" x14ac:dyDescent="0.35">
      <c r="C412" s="7">
        <v>2016</v>
      </c>
      <c r="D412" s="7" t="s">
        <v>172</v>
      </c>
      <c r="E412" s="7" t="s">
        <v>175</v>
      </c>
      <c r="F412" s="7" t="s">
        <v>175</v>
      </c>
      <c r="G412" s="7" t="s">
        <v>3</v>
      </c>
      <c r="H412" s="7">
        <v>4535</v>
      </c>
      <c r="I412" s="7">
        <v>69</v>
      </c>
      <c r="J412" s="7">
        <v>4466</v>
      </c>
      <c r="K412" s="7">
        <v>92851.77</v>
      </c>
      <c r="L412" s="7">
        <v>1357.64</v>
      </c>
      <c r="M412" s="7">
        <v>91494.13</v>
      </c>
    </row>
    <row r="413" spans="3:13" x14ac:dyDescent="0.35">
      <c r="C413" s="7">
        <v>2016</v>
      </c>
      <c r="D413" s="7" t="s">
        <v>172</v>
      </c>
      <c r="E413" s="7" t="s">
        <v>174</v>
      </c>
      <c r="F413" s="7" t="s">
        <v>174</v>
      </c>
      <c r="G413" s="7" t="s">
        <v>3</v>
      </c>
      <c r="H413" s="7">
        <v>4432</v>
      </c>
      <c r="I413" s="7">
        <v>54</v>
      </c>
      <c r="J413" s="7">
        <v>4378</v>
      </c>
      <c r="K413" s="7">
        <v>90352.03</v>
      </c>
      <c r="L413" s="7">
        <v>868.02</v>
      </c>
      <c r="M413" s="7">
        <v>89484.01</v>
      </c>
    </row>
    <row r="414" spans="3:13" x14ac:dyDescent="0.35">
      <c r="C414" s="7">
        <v>2016</v>
      </c>
      <c r="D414" s="7" t="s">
        <v>167</v>
      </c>
      <c r="E414" s="7" t="s">
        <v>168</v>
      </c>
      <c r="F414" s="7" t="s">
        <v>170</v>
      </c>
      <c r="G414" s="7" t="s">
        <v>21</v>
      </c>
      <c r="H414" s="7">
        <v>2076</v>
      </c>
      <c r="I414" s="7">
        <v>17</v>
      </c>
      <c r="J414" s="7">
        <v>2059</v>
      </c>
      <c r="K414" s="7">
        <v>77153.52</v>
      </c>
      <c r="L414" s="7">
        <v>610.16999999999996</v>
      </c>
      <c r="M414" s="7">
        <v>76543.350000000006</v>
      </c>
    </row>
    <row r="415" spans="3:13" x14ac:dyDescent="0.35">
      <c r="C415" s="7">
        <v>2016</v>
      </c>
      <c r="D415" s="7" t="s">
        <v>167</v>
      </c>
      <c r="E415" s="7" t="s">
        <v>171</v>
      </c>
      <c r="F415" s="7" t="s">
        <v>171</v>
      </c>
      <c r="G415" s="7" t="s">
        <v>21</v>
      </c>
      <c r="H415" s="7">
        <v>1711</v>
      </c>
      <c r="I415" s="7">
        <v>32</v>
      </c>
      <c r="J415" s="7">
        <v>1679</v>
      </c>
      <c r="K415" s="7">
        <v>61152.82</v>
      </c>
      <c r="L415" s="7">
        <v>1403.38</v>
      </c>
      <c r="M415" s="7">
        <v>59749.440000000002</v>
      </c>
    </row>
    <row r="416" spans="3:13" x14ac:dyDescent="0.35">
      <c r="C416" s="7">
        <v>2016</v>
      </c>
      <c r="D416" s="7" t="s">
        <v>172</v>
      </c>
      <c r="E416" s="7" t="s">
        <v>173</v>
      </c>
      <c r="F416" s="7" t="s">
        <v>173</v>
      </c>
      <c r="G416" s="7" t="s">
        <v>21</v>
      </c>
      <c r="H416" s="7">
        <v>1747</v>
      </c>
      <c r="I416" s="7">
        <v>16</v>
      </c>
      <c r="J416" s="7">
        <v>1731</v>
      </c>
      <c r="K416" s="7">
        <v>55477.57</v>
      </c>
      <c r="L416" s="7">
        <v>549.57000000000005</v>
      </c>
      <c r="M416" s="7">
        <v>54928</v>
      </c>
    </row>
    <row r="417" spans="3:13" x14ac:dyDescent="0.35">
      <c r="C417" s="7">
        <v>2016</v>
      </c>
      <c r="D417" s="7" t="s">
        <v>172</v>
      </c>
      <c r="E417" s="7" t="s">
        <v>175</v>
      </c>
      <c r="F417" s="7" t="s">
        <v>175</v>
      </c>
      <c r="G417" s="7" t="s">
        <v>21</v>
      </c>
      <c r="H417" s="7">
        <v>1319</v>
      </c>
      <c r="I417" s="7">
        <v>11</v>
      </c>
      <c r="J417" s="7">
        <v>1308</v>
      </c>
      <c r="K417" s="7">
        <v>43774.21</v>
      </c>
      <c r="L417" s="7">
        <v>435.32</v>
      </c>
      <c r="M417" s="7">
        <v>43338.89</v>
      </c>
    </row>
    <row r="418" spans="3:13" x14ac:dyDescent="0.35">
      <c r="C418" s="7">
        <v>2016</v>
      </c>
      <c r="D418" s="7" t="s">
        <v>172</v>
      </c>
      <c r="E418" s="7" t="s">
        <v>174</v>
      </c>
      <c r="F418" s="7" t="s">
        <v>174</v>
      </c>
      <c r="G418" s="7" t="s">
        <v>21</v>
      </c>
      <c r="H418" s="7">
        <v>1251</v>
      </c>
      <c r="I418" s="7">
        <v>19</v>
      </c>
      <c r="J418" s="7">
        <v>1232</v>
      </c>
      <c r="K418" s="7">
        <v>37591.1</v>
      </c>
      <c r="L418" s="7">
        <v>585.22</v>
      </c>
      <c r="M418" s="7">
        <v>37005.879999999997</v>
      </c>
    </row>
    <row r="419" spans="3:13" x14ac:dyDescent="0.35">
      <c r="C419" s="7">
        <v>2016</v>
      </c>
      <c r="D419" s="7" t="s">
        <v>167</v>
      </c>
      <c r="E419" s="7" t="s">
        <v>168</v>
      </c>
      <c r="F419" s="7" t="s">
        <v>177</v>
      </c>
      <c r="G419" s="7" t="s">
        <v>2</v>
      </c>
      <c r="H419" s="7">
        <v>3</v>
      </c>
      <c r="I419" s="7">
        <v>0</v>
      </c>
      <c r="J419" s="7">
        <v>3</v>
      </c>
      <c r="K419" s="7">
        <v>5451.08</v>
      </c>
      <c r="L419" s="7">
        <v>0</v>
      </c>
      <c r="M419" s="7">
        <v>5451.08</v>
      </c>
    </row>
    <row r="420" spans="3:13" x14ac:dyDescent="0.35">
      <c r="C420" s="7">
        <v>2016</v>
      </c>
      <c r="D420" s="7" t="s">
        <v>167</v>
      </c>
      <c r="E420" s="7" t="s">
        <v>168</v>
      </c>
      <c r="F420" s="7" t="s">
        <v>178</v>
      </c>
      <c r="G420" s="7" t="s">
        <v>2</v>
      </c>
      <c r="H420" s="7">
        <v>3</v>
      </c>
      <c r="I420" s="7">
        <v>0</v>
      </c>
      <c r="J420" s="7">
        <v>3</v>
      </c>
      <c r="K420" s="7">
        <v>4682.83</v>
      </c>
      <c r="L420" s="7">
        <v>0</v>
      </c>
      <c r="M420" s="7">
        <v>4682.83</v>
      </c>
    </row>
    <row r="421" spans="3:13" x14ac:dyDescent="0.35">
      <c r="C421" s="7">
        <v>2016</v>
      </c>
      <c r="D421" s="7" t="s">
        <v>167</v>
      </c>
      <c r="E421" s="7" t="s">
        <v>168</v>
      </c>
      <c r="F421" s="7" t="s">
        <v>176</v>
      </c>
      <c r="G421" s="7" t="s">
        <v>2</v>
      </c>
      <c r="H421" s="7">
        <v>3</v>
      </c>
      <c r="I421" s="7">
        <v>0</v>
      </c>
      <c r="J421" s="7">
        <v>3</v>
      </c>
      <c r="K421" s="7">
        <v>3469.62</v>
      </c>
      <c r="L421" s="7">
        <v>0</v>
      </c>
      <c r="M421" s="7">
        <v>3469.62</v>
      </c>
    </row>
    <row r="422" spans="3:13" x14ac:dyDescent="0.35">
      <c r="C422" s="7">
        <v>2016</v>
      </c>
      <c r="D422" s="7" t="s">
        <v>167</v>
      </c>
      <c r="E422" s="7" t="s">
        <v>168</v>
      </c>
      <c r="F422" s="7" t="s">
        <v>177</v>
      </c>
      <c r="G422" s="7" t="s">
        <v>3</v>
      </c>
      <c r="H422" s="7">
        <v>25</v>
      </c>
      <c r="I422" s="7">
        <v>0</v>
      </c>
      <c r="J422" s="7">
        <v>25</v>
      </c>
      <c r="K422" s="7">
        <v>643.23</v>
      </c>
      <c r="L422" s="7">
        <v>0</v>
      </c>
      <c r="M422" s="7">
        <v>643.23</v>
      </c>
    </row>
    <row r="423" spans="3:13" x14ac:dyDescent="0.35">
      <c r="C423" s="7">
        <v>2016</v>
      </c>
      <c r="D423" s="7" t="s">
        <v>167</v>
      </c>
      <c r="E423" s="7" t="s">
        <v>168</v>
      </c>
      <c r="F423" s="7" t="s">
        <v>178</v>
      </c>
      <c r="G423" s="7" t="s">
        <v>21</v>
      </c>
      <c r="H423" s="7">
        <v>9</v>
      </c>
      <c r="I423" s="7">
        <v>0</v>
      </c>
      <c r="J423" s="7">
        <v>9</v>
      </c>
      <c r="K423" s="7">
        <v>364.14</v>
      </c>
      <c r="L423" s="7">
        <v>0</v>
      </c>
      <c r="M423" s="7">
        <v>364.14</v>
      </c>
    </row>
    <row r="424" spans="3:13" x14ac:dyDescent="0.35">
      <c r="C424" s="7">
        <v>2016</v>
      </c>
      <c r="D424" s="7" t="s">
        <v>167</v>
      </c>
      <c r="E424" s="7" t="s">
        <v>168</v>
      </c>
      <c r="F424" s="7" t="s">
        <v>176</v>
      </c>
      <c r="G424" s="7" t="s">
        <v>3</v>
      </c>
      <c r="H424" s="7">
        <v>13</v>
      </c>
      <c r="I424" s="7">
        <v>0</v>
      </c>
      <c r="J424" s="7">
        <v>13</v>
      </c>
      <c r="K424" s="7">
        <v>275.99</v>
      </c>
      <c r="L424" s="7">
        <v>0</v>
      </c>
      <c r="M424" s="7">
        <v>275.99</v>
      </c>
    </row>
    <row r="425" spans="3:13" x14ac:dyDescent="0.35">
      <c r="C425" s="7">
        <v>2016</v>
      </c>
      <c r="D425" s="7" t="s">
        <v>167</v>
      </c>
      <c r="E425" s="7" t="s">
        <v>168</v>
      </c>
      <c r="F425" s="7" t="s">
        <v>178</v>
      </c>
      <c r="G425" s="7" t="s">
        <v>3</v>
      </c>
      <c r="H425" s="7">
        <v>18</v>
      </c>
      <c r="I425" s="7">
        <v>0</v>
      </c>
      <c r="J425" s="7">
        <v>18</v>
      </c>
      <c r="K425" s="7">
        <v>233.33</v>
      </c>
      <c r="L425" s="7">
        <v>0</v>
      </c>
      <c r="M425" s="7">
        <v>233.33</v>
      </c>
    </row>
    <row r="426" spans="3:13" x14ac:dyDescent="0.35">
      <c r="C426" s="7">
        <v>2016</v>
      </c>
      <c r="D426" s="7" t="s">
        <v>167</v>
      </c>
      <c r="E426" s="7" t="s">
        <v>168</v>
      </c>
      <c r="F426" s="7" t="s">
        <v>177</v>
      </c>
      <c r="G426" s="7" t="s">
        <v>21</v>
      </c>
      <c r="H426" s="7">
        <v>7</v>
      </c>
      <c r="I426" s="7">
        <v>0</v>
      </c>
      <c r="J426" s="7">
        <v>7</v>
      </c>
      <c r="K426" s="7">
        <v>164.84</v>
      </c>
      <c r="L426" s="7">
        <v>0</v>
      </c>
      <c r="M426" s="7">
        <v>164.84</v>
      </c>
    </row>
    <row r="427" spans="3:13" x14ac:dyDescent="0.35">
      <c r="C427" s="7">
        <v>2016</v>
      </c>
      <c r="D427" s="7" t="s">
        <v>167</v>
      </c>
      <c r="E427" s="7" t="s">
        <v>168</v>
      </c>
      <c r="F427" s="7" t="s">
        <v>176</v>
      </c>
      <c r="G427" s="7" t="s">
        <v>21</v>
      </c>
      <c r="H427" s="7">
        <v>2</v>
      </c>
      <c r="I427" s="7">
        <v>0</v>
      </c>
      <c r="J427" s="7">
        <v>2</v>
      </c>
      <c r="K427" s="7">
        <v>47.1</v>
      </c>
      <c r="L427" s="7">
        <v>0</v>
      </c>
      <c r="M427" s="7">
        <v>47.1</v>
      </c>
    </row>
    <row r="428" spans="3:13" x14ac:dyDescent="0.35">
      <c r="C428" s="7">
        <v>2017</v>
      </c>
      <c r="D428" s="7" t="s">
        <v>165</v>
      </c>
      <c r="E428" s="7" t="s">
        <v>166</v>
      </c>
      <c r="F428" s="7" t="s">
        <v>166</v>
      </c>
      <c r="G428" s="7" t="s">
        <v>2</v>
      </c>
      <c r="H428" s="7">
        <v>2302</v>
      </c>
      <c r="I428" s="7">
        <v>60</v>
      </c>
      <c r="J428" s="7">
        <v>2242</v>
      </c>
      <c r="K428" s="7">
        <v>3456047.6</v>
      </c>
      <c r="L428" s="7">
        <v>97346.15</v>
      </c>
      <c r="M428" s="7">
        <v>3358701.45</v>
      </c>
    </row>
    <row r="429" spans="3:13" x14ac:dyDescent="0.35">
      <c r="C429" s="7">
        <v>2017</v>
      </c>
      <c r="D429" s="7" t="s">
        <v>167</v>
      </c>
      <c r="E429" s="7" t="s">
        <v>168</v>
      </c>
      <c r="F429" s="7" t="s">
        <v>169</v>
      </c>
      <c r="G429" s="7" t="s">
        <v>2</v>
      </c>
      <c r="H429" s="7">
        <v>1785</v>
      </c>
      <c r="I429" s="7">
        <v>53</v>
      </c>
      <c r="J429" s="7">
        <v>1732</v>
      </c>
      <c r="K429" s="7">
        <v>2664953.0699999998</v>
      </c>
      <c r="L429" s="7">
        <v>75899.929999999993</v>
      </c>
      <c r="M429" s="7">
        <v>2589053.14</v>
      </c>
    </row>
    <row r="430" spans="3:13" x14ac:dyDescent="0.35">
      <c r="C430" s="7">
        <v>2017</v>
      </c>
      <c r="D430" s="7" t="s">
        <v>167</v>
      </c>
      <c r="E430" s="7" t="s">
        <v>168</v>
      </c>
      <c r="F430" s="7" t="s">
        <v>170</v>
      </c>
      <c r="G430" s="7" t="s">
        <v>2</v>
      </c>
      <c r="H430" s="7">
        <v>1139</v>
      </c>
      <c r="I430" s="7">
        <v>34</v>
      </c>
      <c r="J430" s="7">
        <v>1105</v>
      </c>
      <c r="K430" s="7">
        <v>1700956.88</v>
      </c>
      <c r="L430" s="7">
        <v>51159.26</v>
      </c>
      <c r="M430" s="7">
        <v>1649797.62</v>
      </c>
    </row>
    <row r="431" spans="3:13" x14ac:dyDescent="0.35">
      <c r="C431" s="7">
        <v>2017</v>
      </c>
      <c r="D431" s="7" t="s">
        <v>172</v>
      </c>
      <c r="E431" s="7" t="s">
        <v>173</v>
      </c>
      <c r="F431" s="7" t="s">
        <v>173</v>
      </c>
      <c r="G431" s="7" t="s">
        <v>2</v>
      </c>
      <c r="H431" s="7">
        <v>1055</v>
      </c>
      <c r="I431" s="7">
        <v>32</v>
      </c>
      <c r="J431" s="7">
        <v>1023</v>
      </c>
      <c r="K431" s="7">
        <v>1553397.87</v>
      </c>
      <c r="L431" s="7">
        <v>42216.71</v>
      </c>
      <c r="M431" s="7">
        <v>1511181.16</v>
      </c>
    </row>
    <row r="432" spans="3:13" x14ac:dyDescent="0.35">
      <c r="C432" s="7">
        <v>2017</v>
      </c>
      <c r="D432" s="7" t="s">
        <v>172</v>
      </c>
      <c r="E432" s="7" t="s">
        <v>174</v>
      </c>
      <c r="F432" s="7" t="s">
        <v>174</v>
      </c>
      <c r="G432" s="7" t="s">
        <v>2</v>
      </c>
      <c r="H432" s="7">
        <v>1006</v>
      </c>
      <c r="I432" s="7">
        <v>29</v>
      </c>
      <c r="J432" s="7">
        <v>977</v>
      </c>
      <c r="K432" s="7">
        <v>1457191.07</v>
      </c>
      <c r="L432" s="7">
        <v>34958.22</v>
      </c>
      <c r="M432" s="7">
        <v>1422232.85</v>
      </c>
    </row>
    <row r="433" spans="3:13" x14ac:dyDescent="0.35">
      <c r="C433" s="7">
        <v>2017</v>
      </c>
      <c r="D433" s="7" t="s">
        <v>172</v>
      </c>
      <c r="E433" s="7" t="s">
        <v>175</v>
      </c>
      <c r="F433" s="7" t="s">
        <v>175</v>
      </c>
      <c r="G433" s="7" t="s">
        <v>2</v>
      </c>
      <c r="H433" s="7">
        <v>844</v>
      </c>
      <c r="I433" s="7">
        <v>34</v>
      </c>
      <c r="J433" s="7">
        <v>810</v>
      </c>
      <c r="K433" s="7">
        <v>1233532.79</v>
      </c>
      <c r="L433" s="7">
        <v>60257.29</v>
      </c>
      <c r="M433" s="7">
        <v>1173275.5</v>
      </c>
    </row>
    <row r="434" spans="3:13" x14ac:dyDescent="0.35">
      <c r="C434" s="7">
        <v>2017</v>
      </c>
      <c r="D434" s="7" t="s">
        <v>167</v>
      </c>
      <c r="E434" s="7" t="s">
        <v>171</v>
      </c>
      <c r="F434" s="7" t="s">
        <v>171</v>
      </c>
      <c r="G434" s="7" t="s">
        <v>2</v>
      </c>
      <c r="H434" s="7">
        <v>513</v>
      </c>
      <c r="I434" s="7">
        <v>9</v>
      </c>
      <c r="J434" s="7">
        <v>504</v>
      </c>
      <c r="K434" s="7">
        <v>802303.5</v>
      </c>
      <c r="L434" s="7">
        <v>17719.39</v>
      </c>
      <c r="M434" s="7">
        <v>784584.11</v>
      </c>
    </row>
    <row r="435" spans="3:13" x14ac:dyDescent="0.35">
      <c r="C435" s="7">
        <v>2017</v>
      </c>
      <c r="D435" s="7" t="s">
        <v>167</v>
      </c>
      <c r="E435" s="7" t="s">
        <v>168</v>
      </c>
      <c r="F435" s="7" t="s">
        <v>169</v>
      </c>
      <c r="G435" s="7" t="s">
        <v>3</v>
      </c>
      <c r="H435" s="7">
        <v>13098</v>
      </c>
      <c r="I435" s="7">
        <v>203</v>
      </c>
      <c r="J435" s="7">
        <v>12895</v>
      </c>
      <c r="K435" s="7">
        <v>266353.77</v>
      </c>
      <c r="L435" s="7">
        <v>3653.8</v>
      </c>
      <c r="M435" s="7">
        <v>262699.96999999997</v>
      </c>
    </row>
    <row r="436" spans="3:13" x14ac:dyDescent="0.35">
      <c r="C436" s="7">
        <v>2017</v>
      </c>
      <c r="D436" s="7" t="s">
        <v>165</v>
      </c>
      <c r="E436" s="7" t="s">
        <v>166</v>
      </c>
      <c r="F436" s="7" t="s">
        <v>166</v>
      </c>
      <c r="G436" s="7" t="s">
        <v>3</v>
      </c>
      <c r="H436" s="7">
        <v>12940</v>
      </c>
      <c r="I436" s="7">
        <v>191</v>
      </c>
      <c r="J436" s="7">
        <v>12749</v>
      </c>
      <c r="K436" s="7">
        <v>256645.56</v>
      </c>
      <c r="L436" s="7">
        <v>3407.78</v>
      </c>
      <c r="M436" s="7">
        <v>253237.78</v>
      </c>
    </row>
    <row r="437" spans="3:13" x14ac:dyDescent="0.35">
      <c r="C437" s="7">
        <v>2017</v>
      </c>
      <c r="D437" s="7" t="s">
        <v>167</v>
      </c>
      <c r="E437" s="7" t="s">
        <v>168</v>
      </c>
      <c r="F437" s="7" t="s">
        <v>170</v>
      </c>
      <c r="G437" s="7" t="s">
        <v>3</v>
      </c>
      <c r="H437" s="7">
        <v>9411</v>
      </c>
      <c r="I437" s="7">
        <v>127</v>
      </c>
      <c r="J437" s="7">
        <v>9284</v>
      </c>
      <c r="K437" s="7">
        <v>193767.3</v>
      </c>
      <c r="L437" s="7">
        <v>2355.29</v>
      </c>
      <c r="M437" s="7">
        <v>191412.01</v>
      </c>
    </row>
    <row r="438" spans="3:13" x14ac:dyDescent="0.35">
      <c r="C438" s="7">
        <v>2017</v>
      </c>
      <c r="D438" s="7" t="s">
        <v>167</v>
      </c>
      <c r="E438" s="7" t="s">
        <v>171</v>
      </c>
      <c r="F438" s="7" t="s">
        <v>171</v>
      </c>
      <c r="G438" s="7" t="s">
        <v>3</v>
      </c>
      <c r="H438" s="7">
        <v>7796</v>
      </c>
      <c r="I438" s="7">
        <v>145</v>
      </c>
      <c r="J438" s="7">
        <v>7651</v>
      </c>
      <c r="K438" s="7">
        <v>159569.21</v>
      </c>
      <c r="L438" s="7">
        <v>2753.6</v>
      </c>
      <c r="M438" s="7">
        <v>156815.60999999999</v>
      </c>
    </row>
    <row r="439" spans="3:13" x14ac:dyDescent="0.35">
      <c r="C439" s="7">
        <v>2017</v>
      </c>
      <c r="D439" s="7" t="s">
        <v>167</v>
      </c>
      <c r="E439" s="7" t="s">
        <v>168</v>
      </c>
      <c r="F439" s="7" t="s">
        <v>169</v>
      </c>
      <c r="G439" s="7" t="s">
        <v>21</v>
      </c>
      <c r="H439" s="7">
        <v>4008</v>
      </c>
      <c r="I439" s="7">
        <v>44</v>
      </c>
      <c r="J439" s="7">
        <v>3964</v>
      </c>
      <c r="K439" s="7">
        <v>143163.57</v>
      </c>
      <c r="L439" s="7">
        <v>1964.32</v>
      </c>
      <c r="M439" s="7">
        <v>141199.25</v>
      </c>
    </row>
    <row r="440" spans="3:13" x14ac:dyDescent="0.35">
      <c r="C440" s="7">
        <v>2017</v>
      </c>
      <c r="D440" s="7" t="s">
        <v>172</v>
      </c>
      <c r="E440" s="7" t="s">
        <v>173</v>
      </c>
      <c r="F440" s="7" t="s">
        <v>173</v>
      </c>
      <c r="G440" s="7" t="s">
        <v>3</v>
      </c>
      <c r="H440" s="7">
        <v>7002</v>
      </c>
      <c r="I440" s="7">
        <v>97</v>
      </c>
      <c r="J440" s="7">
        <v>6905</v>
      </c>
      <c r="K440" s="7">
        <v>140116.41</v>
      </c>
      <c r="L440" s="7">
        <v>1780.11</v>
      </c>
      <c r="M440" s="7">
        <v>138336.29999999999</v>
      </c>
    </row>
    <row r="441" spans="3:13" x14ac:dyDescent="0.35">
      <c r="C441" s="7">
        <v>2017</v>
      </c>
      <c r="D441" s="7" t="s">
        <v>165</v>
      </c>
      <c r="E441" s="7" t="s">
        <v>166</v>
      </c>
      <c r="F441" s="7" t="s">
        <v>166</v>
      </c>
      <c r="G441" s="7" t="s">
        <v>21</v>
      </c>
      <c r="H441" s="7">
        <v>3881</v>
      </c>
      <c r="I441" s="7">
        <v>52</v>
      </c>
      <c r="J441" s="7">
        <v>3829</v>
      </c>
      <c r="K441" s="7">
        <v>139299.17000000001</v>
      </c>
      <c r="L441" s="7">
        <v>2120.1799999999998</v>
      </c>
      <c r="M441" s="7">
        <v>137178.99</v>
      </c>
    </row>
    <row r="442" spans="3:13" x14ac:dyDescent="0.35">
      <c r="C442" s="7">
        <v>2017</v>
      </c>
      <c r="D442" s="7" t="s">
        <v>172</v>
      </c>
      <c r="E442" s="7" t="s">
        <v>174</v>
      </c>
      <c r="F442" s="7" t="s">
        <v>174</v>
      </c>
      <c r="G442" s="7" t="s">
        <v>3</v>
      </c>
      <c r="H442" s="7">
        <v>6254</v>
      </c>
      <c r="I442" s="7">
        <v>78</v>
      </c>
      <c r="J442" s="7">
        <v>6176</v>
      </c>
      <c r="K442" s="7">
        <v>126961</v>
      </c>
      <c r="L442" s="7">
        <v>1309.69</v>
      </c>
      <c r="M442" s="7">
        <v>125651.31</v>
      </c>
    </row>
    <row r="443" spans="3:13" x14ac:dyDescent="0.35">
      <c r="C443" s="7">
        <v>2017</v>
      </c>
      <c r="D443" s="7" t="s">
        <v>172</v>
      </c>
      <c r="E443" s="7" t="s">
        <v>175</v>
      </c>
      <c r="F443" s="7" t="s">
        <v>175</v>
      </c>
      <c r="G443" s="7" t="s">
        <v>3</v>
      </c>
      <c r="H443" s="7">
        <v>6183</v>
      </c>
      <c r="I443" s="7">
        <v>108</v>
      </c>
      <c r="J443" s="7">
        <v>6075</v>
      </c>
      <c r="K443" s="7">
        <v>123404.05</v>
      </c>
      <c r="L443" s="7">
        <v>2458.6</v>
      </c>
      <c r="M443" s="7">
        <v>120945.45</v>
      </c>
    </row>
    <row r="444" spans="3:13" x14ac:dyDescent="0.35">
      <c r="C444" s="7">
        <v>2017</v>
      </c>
      <c r="D444" s="7" t="s">
        <v>167</v>
      </c>
      <c r="E444" s="7" t="s">
        <v>168</v>
      </c>
      <c r="F444" s="7" t="s">
        <v>170</v>
      </c>
      <c r="G444" s="7" t="s">
        <v>21</v>
      </c>
      <c r="H444" s="7">
        <v>2956</v>
      </c>
      <c r="I444" s="7">
        <v>39</v>
      </c>
      <c r="J444" s="7">
        <v>2917</v>
      </c>
      <c r="K444" s="7">
        <v>105836.5</v>
      </c>
      <c r="L444" s="7">
        <v>1614.57</v>
      </c>
      <c r="M444" s="7">
        <v>104221.93</v>
      </c>
    </row>
    <row r="445" spans="3:13" x14ac:dyDescent="0.35">
      <c r="C445" s="7">
        <v>2017</v>
      </c>
      <c r="D445" s="7" t="s">
        <v>167</v>
      </c>
      <c r="E445" s="7" t="s">
        <v>171</v>
      </c>
      <c r="F445" s="7" t="s">
        <v>171</v>
      </c>
      <c r="G445" s="7" t="s">
        <v>21</v>
      </c>
      <c r="H445" s="7">
        <v>2613</v>
      </c>
      <c r="I445" s="7">
        <v>46</v>
      </c>
      <c r="J445" s="7">
        <v>2567</v>
      </c>
      <c r="K445" s="7">
        <v>94082.93</v>
      </c>
      <c r="L445" s="7">
        <v>1753.43</v>
      </c>
      <c r="M445" s="7">
        <v>92329.5</v>
      </c>
    </row>
    <row r="446" spans="3:13" x14ac:dyDescent="0.35">
      <c r="C446" s="7">
        <v>2017</v>
      </c>
      <c r="D446" s="7" t="s">
        <v>172</v>
      </c>
      <c r="E446" s="7" t="s">
        <v>173</v>
      </c>
      <c r="F446" s="7" t="s">
        <v>173</v>
      </c>
      <c r="G446" s="7" t="s">
        <v>21</v>
      </c>
      <c r="H446" s="7">
        <v>2097</v>
      </c>
      <c r="I446" s="7">
        <v>21</v>
      </c>
      <c r="J446" s="7">
        <v>2076</v>
      </c>
      <c r="K446" s="7">
        <v>62349.88</v>
      </c>
      <c r="L446" s="7">
        <v>616.49</v>
      </c>
      <c r="M446" s="7">
        <v>61733.39</v>
      </c>
    </row>
    <row r="447" spans="3:13" x14ac:dyDescent="0.35">
      <c r="C447" s="7">
        <v>2017</v>
      </c>
      <c r="D447" s="7" t="s">
        <v>172</v>
      </c>
      <c r="E447" s="7" t="s">
        <v>175</v>
      </c>
      <c r="F447" s="7" t="s">
        <v>175</v>
      </c>
      <c r="G447" s="7" t="s">
        <v>21</v>
      </c>
      <c r="H447" s="7">
        <v>1640</v>
      </c>
      <c r="I447" s="7">
        <v>26</v>
      </c>
      <c r="J447" s="7">
        <v>1614</v>
      </c>
      <c r="K447" s="7">
        <v>52558.65</v>
      </c>
      <c r="L447" s="7">
        <v>862.24</v>
      </c>
      <c r="M447" s="7">
        <v>51696.41</v>
      </c>
    </row>
    <row r="448" spans="3:13" x14ac:dyDescent="0.35">
      <c r="C448" s="7">
        <v>2017</v>
      </c>
      <c r="D448" s="7" t="s">
        <v>172</v>
      </c>
      <c r="E448" s="7" t="s">
        <v>174</v>
      </c>
      <c r="F448" s="7" t="s">
        <v>174</v>
      </c>
      <c r="G448" s="7" t="s">
        <v>21</v>
      </c>
      <c r="H448" s="7">
        <v>1802</v>
      </c>
      <c r="I448" s="7">
        <v>16</v>
      </c>
      <c r="J448" s="7">
        <v>1786</v>
      </c>
      <c r="K448" s="7">
        <v>52030.27</v>
      </c>
      <c r="L448" s="7">
        <v>671.21</v>
      </c>
      <c r="M448" s="7">
        <v>51359.06</v>
      </c>
    </row>
    <row r="449" spans="3:13" x14ac:dyDescent="0.35">
      <c r="C449" s="7">
        <v>2017</v>
      </c>
      <c r="D449" s="7" t="s">
        <v>167</v>
      </c>
      <c r="E449" s="7" t="s">
        <v>168</v>
      </c>
      <c r="F449" s="7" t="s">
        <v>176</v>
      </c>
      <c r="G449" s="7" t="s">
        <v>2</v>
      </c>
      <c r="H449" s="7">
        <v>7</v>
      </c>
      <c r="I449" s="7">
        <v>0</v>
      </c>
      <c r="J449" s="7">
        <v>7</v>
      </c>
      <c r="K449" s="7">
        <v>12499.06</v>
      </c>
      <c r="L449" s="7">
        <v>0</v>
      </c>
      <c r="M449" s="7">
        <v>12499.06</v>
      </c>
    </row>
    <row r="450" spans="3:13" x14ac:dyDescent="0.35">
      <c r="C450" s="7">
        <v>2017</v>
      </c>
      <c r="D450" s="7" t="s">
        <v>167</v>
      </c>
      <c r="E450" s="7" t="s">
        <v>168</v>
      </c>
      <c r="F450" s="7" t="s">
        <v>177</v>
      </c>
      <c r="G450" s="7" t="s">
        <v>2</v>
      </c>
      <c r="H450" s="7">
        <v>1</v>
      </c>
      <c r="I450" s="7">
        <v>0</v>
      </c>
      <c r="J450" s="7">
        <v>1</v>
      </c>
      <c r="K450" s="7">
        <v>2049.1</v>
      </c>
      <c r="L450" s="7">
        <v>0</v>
      </c>
      <c r="M450" s="7">
        <v>2049.1</v>
      </c>
    </row>
    <row r="451" spans="3:13" x14ac:dyDescent="0.35">
      <c r="C451" s="7">
        <v>2017</v>
      </c>
      <c r="D451" s="7" t="s">
        <v>167</v>
      </c>
      <c r="E451" s="7" t="s">
        <v>168</v>
      </c>
      <c r="F451" s="7" t="s">
        <v>176</v>
      </c>
      <c r="G451" s="7" t="s">
        <v>21</v>
      </c>
      <c r="H451" s="7">
        <v>32</v>
      </c>
      <c r="I451" s="7">
        <v>0</v>
      </c>
      <c r="J451" s="7">
        <v>32</v>
      </c>
      <c r="K451" s="7">
        <v>1533.67</v>
      </c>
      <c r="L451" s="7">
        <v>0</v>
      </c>
      <c r="M451" s="7">
        <v>1533.67</v>
      </c>
    </row>
    <row r="452" spans="3:13" x14ac:dyDescent="0.35">
      <c r="C452" s="7">
        <v>2017</v>
      </c>
      <c r="D452" s="7" t="s">
        <v>167</v>
      </c>
      <c r="E452" s="7" t="s">
        <v>168</v>
      </c>
      <c r="F452" s="7" t="s">
        <v>176</v>
      </c>
      <c r="G452" s="7" t="s">
        <v>3</v>
      </c>
      <c r="H452" s="7">
        <v>75</v>
      </c>
      <c r="I452" s="7">
        <v>2</v>
      </c>
      <c r="J452" s="7">
        <v>73</v>
      </c>
      <c r="K452" s="7">
        <v>1329.01</v>
      </c>
      <c r="L452" s="7">
        <v>65.2</v>
      </c>
      <c r="M452" s="7">
        <v>1263.81</v>
      </c>
    </row>
    <row r="453" spans="3:13" x14ac:dyDescent="0.35">
      <c r="C453" s="7">
        <v>2017</v>
      </c>
      <c r="D453" s="7" t="s">
        <v>167</v>
      </c>
      <c r="E453" s="7" t="s">
        <v>168</v>
      </c>
      <c r="F453" s="7" t="s">
        <v>177</v>
      </c>
      <c r="G453" s="7" t="s">
        <v>3</v>
      </c>
      <c r="H453" s="7">
        <v>40</v>
      </c>
      <c r="I453" s="7">
        <v>0</v>
      </c>
      <c r="J453" s="7">
        <v>40</v>
      </c>
      <c r="K453" s="7">
        <v>813.39</v>
      </c>
      <c r="L453" s="7">
        <v>0</v>
      </c>
      <c r="M453" s="7">
        <v>813.39</v>
      </c>
    </row>
    <row r="454" spans="3:13" x14ac:dyDescent="0.35">
      <c r="C454" s="7">
        <v>2017</v>
      </c>
      <c r="D454" s="7" t="s">
        <v>167</v>
      </c>
      <c r="E454" s="7" t="s">
        <v>168</v>
      </c>
      <c r="F454" s="7" t="s">
        <v>178</v>
      </c>
      <c r="G454" s="7" t="s">
        <v>3</v>
      </c>
      <c r="H454" s="7">
        <v>21</v>
      </c>
      <c r="I454" s="7">
        <v>0</v>
      </c>
      <c r="J454" s="7">
        <v>21</v>
      </c>
      <c r="K454" s="7">
        <v>348.12</v>
      </c>
      <c r="L454" s="7">
        <v>0</v>
      </c>
      <c r="M454" s="7">
        <v>348.12</v>
      </c>
    </row>
    <row r="455" spans="3:13" x14ac:dyDescent="0.35">
      <c r="C455" s="7">
        <v>2017</v>
      </c>
      <c r="D455" s="7" t="s">
        <v>167</v>
      </c>
      <c r="E455" s="7" t="s">
        <v>168</v>
      </c>
      <c r="F455" s="7" t="s">
        <v>177</v>
      </c>
      <c r="G455" s="7" t="s">
        <v>21</v>
      </c>
      <c r="H455" s="7">
        <v>6</v>
      </c>
      <c r="I455" s="7">
        <v>0</v>
      </c>
      <c r="J455" s="7">
        <v>6</v>
      </c>
      <c r="K455" s="7">
        <v>161.58000000000001</v>
      </c>
      <c r="L455" s="7">
        <v>0</v>
      </c>
      <c r="M455" s="7">
        <v>161.58000000000001</v>
      </c>
    </row>
    <row r="456" spans="3:13" x14ac:dyDescent="0.35">
      <c r="C456" s="7">
        <v>2017</v>
      </c>
      <c r="D456" s="7" t="s">
        <v>167</v>
      </c>
      <c r="E456" s="7" t="s">
        <v>168</v>
      </c>
      <c r="F456" s="7" t="s">
        <v>178</v>
      </c>
      <c r="G456" s="7" t="s">
        <v>21</v>
      </c>
      <c r="H456" s="7">
        <v>3</v>
      </c>
      <c r="I456" s="7">
        <v>0</v>
      </c>
      <c r="J456" s="7">
        <v>3</v>
      </c>
      <c r="K456" s="7">
        <v>101.09</v>
      </c>
      <c r="L456" s="7">
        <v>0</v>
      </c>
      <c r="M456" s="7">
        <v>101.09</v>
      </c>
    </row>
    <row r="462" spans="3:13" x14ac:dyDescent="0.35">
      <c r="C462" s="109" t="s">
        <v>184</v>
      </c>
      <c r="D462" s="109"/>
      <c r="E462" s="109"/>
      <c r="F462" s="109"/>
      <c r="G462" s="109"/>
      <c r="H462" s="109"/>
      <c r="I462" s="109"/>
      <c r="J462" s="109"/>
      <c r="K462" s="109"/>
      <c r="L462" s="109"/>
    </row>
    <row r="463" spans="3:13" x14ac:dyDescent="0.35">
      <c r="C463" s="109"/>
      <c r="D463" s="109"/>
      <c r="E463" s="109"/>
      <c r="F463" s="109"/>
      <c r="G463" s="109"/>
      <c r="H463" s="109"/>
      <c r="I463" s="109"/>
      <c r="J463" s="109"/>
      <c r="K463" s="109"/>
      <c r="L463" s="109"/>
    </row>
    <row r="465" spans="3:12" x14ac:dyDescent="0.35">
      <c r="C465" s="101" t="s">
        <v>236</v>
      </c>
      <c r="D465" s="101"/>
      <c r="E465" s="101"/>
      <c r="F465" s="101"/>
      <c r="G465" s="101"/>
      <c r="H465" s="101"/>
      <c r="I465" s="101"/>
      <c r="J465" s="101"/>
      <c r="K465" s="101"/>
      <c r="L465" s="101"/>
    </row>
    <row r="466" spans="3:12" x14ac:dyDescent="0.35">
      <c r="C466" s="101"/>
      <c r="D466" s="101"/>
      <c r="E466" s="101"/>
      <c r="F466" s="101"/>
      <c r="G466" s="101"/>
      <c r="H466" s="101"/>
      <c r="I466" s="101"/>
      <c r="J466" s="101"/>
      <c r="K466" s="101"/>
      <c r="L466" s="101"/>
    </row>
    <row r="467" spans="3:12" ht="21" x14ac:dyDescent="0.35">
      <c r="C467" s="68"/>
      <c r="D467" s="68"/>
      <c r="E467" s="68"/>
      <c r="F467" s="68"/>
      <c r="G467" s="68"/>
      <c r="H467" s="68"/>
      <c r="I467" s="68"/>
      <c r="J467" s="68"/>
      <c r="K467" s="68"/>
      <c r="L467" s="68"/>
    </row>
    <row r="468" spans="3:12" x14ac:dyDescent="0.35">
      <c r="C468" s="6" t="s">
        <v>189</v>
      </c>
      <c r="D468" s="6" t="s">
        <v>181</v>
      </c>
      <c r="E468" s="6" t="s">
        <v>234</v>
      </c>
      <c r="F468" s="6" t="s">
        <v>231</v>
      </c>
      <c r="G468" s="6" t="s">
        <v>232</v>
      </c>
      <c r="H468" s="6" t="s">
        <v>233</v>
      </c>
      <c r="I468" s="6" t="s">
        <v>50</v>
      </c>
      <c r="J468" s="6" t="s">
        <v>190</v>
      </c>
      <c r="K468" s="6" t="s">
        <v>193</v>
      </c>
      <c r="L468" s="6" t="s">
        <v>235</v>
      </c>
    </row>
    <row r="469" spans="3:12" x14ac:dyDescent="0.35">
      <c r="C469" s="16">
        <v>15932</v>
      </c>
      <c r="D469" s="17" t="s">
        <v>174</v>
      </c>
      <c r="E469" s="17" t="s">
        <v>28</v>
      </c>
      <c r="F469" s="17">
        <v>9</v>
      </c>
      <c r="G469" s="17">
        <v>5</v>
      </c>
      <c r="H469" s="17">
        <v>2</v>
      </c>
      <c r="I469" s="17">
        <v>16</v>
      </c>
      <c r="J469" s="17">
        <v>21197.48</v>
      </c>
      <c r="K469" s="27">
        <v>0.05</v>
      </c>
      <c r="L469" s="18">
        <v>1</v>
      </c>
    </row>
    <row r="470" spans="3:12" x14ac:dyDescent="0.35">
      <c r="C470" s="19">
        <v>12632</v>
      </c>
      <c r="D470" s="7" t="s">
        <v>175</v>
      </c>
      <c r="E470" s="7" t="s">
        <v>185</v>
      </c>
      <c r="F470" s="7">
        <v>8</v>
      </c>
      <c r="G470" s="7">
        <v>9</v>
      </c>
      <c r="H470" s="7">
        <v>0</v>
      </c>
      <c r="I470" s="7">
        <v>17</v>
      </c>
      <c r="J470" s="7">
        <v>20735.990000000002</v>
      </c>
      <c r="K470" s="14">
        <v>0.05</v>
      </c>
      <c r="L470" s="20">
        <v>2</v>
      </c>
    </row>
    <row r="471" spans="3:12" x14ac:dyDescent="0.35">
      <c r="C471" s="19">
        <v>11425</v>
      </c>
      <c r="D471" s="7" t="s">
        <v>175</v>
      </c>
      <c r="E471" s="7" t="s">
        <v>186</v>
      </c>
      <c r="F471" s="7">
        <v>11</v>
      </c>
      <c r="G471" s="7">
        <v>40</v>
      </c>
      <c r="H471" s="7">
        <v>2</v>
      </c>
      <c r="I471" s="7">
        <v>53</v>
      </c>
      <c r="J471" s="7">
        <v>19836.96</v>
      </c>
      <c r="K471" s="14">
        <v>0.05</v>
      </c>
      <c r="L471" s="20">
        <v>3</v>
      </c>
    </row>
    <row r="472" spans="3:12" x14ac:dyDescent="0.35">
      <c r="C472" s="19">
        <v>11249</v>
      </c>
      <c r="D472" s="7" t="s">
        <v>174</v>
      </c>
      <c r="E472" s="7" t="s">
        <v>187</v>
      </c>
      <c r="F472" s="7">
        <v>8</v>
      </c>
      <c r="G472" s="7">
        <v>21</v>
      </c>
      <c r="H472" s="7">
        <v>9</v>
      </c>
      <c r="I472" s="7">
        <v>38</v>
      </c>
      <c r="J472" s="7">
        <v>19534.18</v>
      </c>
      <c r="K472" s="14">
        <v>0.05</v>
      </c>
      <c r="L472" s="20">
        <v>4</v>
      </c>
    </row>
    <row r="473" spans="3:12" x14ac:dyDescent="0.35">
      <c r="C473" s="21">
        <v>11433</v>
      </c>
      <c r="D473" s="22" t="s">
        <v>175</v>
      </c>
      <c r="E473" s="22" t="s">
        <v>188</v>
      </c>
      <c r="F473" s="22">
        <v>9</v>
      </c>
      <c r="G473" s="22">
        <v>19</v>
      </c>
      <c r="H473" s="22">
        <v>12</v>
      </c>
      <c r="I473" s="22">
        <v>40</v>
      </c>
      <c r="J473" s="22">
        <v>19335.439999999999</v>
      </c>
      <c r="K473" s="28">
        <v>0.05</v>
      </c>
      <c r="L473" s="23">
        <v>5</v>
      </c>
    </row>
    <row r="475" spans="3:12" x14ac:dyDescent="0.35">
      <c r="D475" s="100" t="s">
        <v>227</v>
      </c>
      <c r="E475" s="100"/>
      <c r="F475" s="100"/>
      <c r="G475" s="100"/>
      <c r="H475" s="100"/>
      <c r="J475" s="100" t="s">
        <v>228</v>
      </c>
      <c r="K475" s="102"/>
    </row>
    <row r="476" spans="3:12" x14ac:dyDescent="0.35">
      <c r="D476" s="100"/>
      <c r="E476" s="100"/>
      <c r="F476" s="100"/>
      <c r="G476" s="100"/>
      <c r="H476" s="100"/>
      <c r="J476" s="102"/>
      <c r="K476" s="102"/>
    </row>
    <row r="477" spans="3:12" ht="18.5" x14ac:dyDescent="0.35">
      <c r="D477" s="70"/>
      <c r="E477" s="70"/>
      <c r="F477" s="70"/>
      <c r="G477" s="70"/>
      <c r="H477" s="70"/>
      <c r="J477" s="71"/>
      <c r="K477" s="71"/>
    </row>
    <row r="478" spans="3:12" x14ac:dyDescent="0.35">
      <c r="D478" s="6" t="s">
        <v>180</v>
      </c>
      <c r="E478" s="6" t="s">
        <v>181</v>
      </c>
      <c r="F478" s="6" t="s">
        <v>191</v>
      </c>
      <c r="G478" s="6" t="s">
        <v>192</v>
      </c>
      <c r="H478" s="6" t="s">
        <v>193</v>
      </c>
      <c r="J478" s="6" t="s">
        <v>198</v>
      </c>
      <c r="K478" s="6" t="s">
        <v>199</v>
      </c>
    </row>
    <row r="479" spans="3:12" x14ac:dyDescent="0.35">
      <c r="D479" s="16" t="s">
        <v>166</v>
      </c>
      <c r="E479" s="17" t="s">
        <v>166</v>
      </c>
      <c r="F479" s="17">
        <v>1530</v>
      </c>
      <c r="G479" s="17">
        <v>8.7899999999999991</v>
      </c>
      <c r="H479" s="18">
        <v>26.19</v>
      </c>
      <c r="J479" s="16" t="s">
        <v>200</v>
      </c>
      <c r="K479" s="18">
        <v>4426</v>
      </c>
    </row>
    <row r="480" spans="3:12" x14ac:dyDescent="0.35">
      <c r="D480" s="19" t="s">
        <v>168</v>
      </c>
      <c r="E480" s="7" t="s">
        <v>169</v>
      </c>
      <c r="F480" s="7">
        <v>1001</v>
      </c>
      <c r="G480" s="7">
        <v>5.75</v>
      </c>
      <c r="H480" s="20">
        <v>13.79</v>
      </c>
      <c r="J480" s="19" t="s">
        <v>201</v>
      </c>
      <c r="K480" s="20">
        <v>4348</v>
      </c>
    </row>
    <row r="481" spans="3:12" x14ac:dyDescent="0.35">
      <c r="D481" s="19" t="s">
        <v>168</v>
      </c>
      <c r="E481" s="7" t="s">
        <v>170</v>
      </c>
      <c r="F481" s="7">
        <v>661</v>
      </c>
      <c r="G481" s="7">
        <v>3.8</v>
      </c>
      <c r="H481" s="20">
        <v>9.19</v>
      </c>
      <c r="J481" s="19" t="s">
        <v>202</v>
      </c>
      <c r="K481" s="20">
        <v>4328</v>
      </c>
    </row>
    <row r="482" spans="3:12" x14ac:dyDescent="0.35">
      <c r="D482" s="19" t="s">
        <v>173</v>
      </c>
      <c r="E482" s="7" t="s">
        <v>173</v>
      </c>
      <c r="F482" s="7">
        <v>594</v>
      </c>
      <c r="G482" s="7">
        <v>3.41</v>
      </c>
      <c r="H482" s="20">
        <v>9.4499999999999993</v>
      </c>
      <c r="J482" s="19" t="s">
        <v>203</v>
      </c>
      <c r="K482" s="20">
        <v>4275</v>
      </c>
    </row>
    <row r="483" spans="3:12" x14ac:dyDescent="0.35">
      <c r="D483" s="19" t="s">
        <v>174</v>
      </c>
      <c r="E483" s="7" t="s">
        <v>174</v>
      </c>
      <c r="F483" s="7">
        <v>511</v>
      </c>
      <c r="G483" s="7">
        <v>2.93</v>
      </c>
      <c r="H483" s="20">
        <v>8.42</v>
      </c>
      <c r="J483" s="19" t="s">
        <v>204</v>
      </c>
      <c r="K483" s="20">
        <v>4258</v>
      </c>
    </row>
    <row r="484" spans="3:12" x14ac:dyDescent="0.35">
      <c r="D484" s="19" t="s">
        <v>175</v>
      </c>
      <c r="E484" s="7" t="s">
        <v>175</v>
      </c>
      <c r="F484" s="7">
        <v>484</v>
      </c>
      <c r="G484" s="7">
        <v>2.78</v>
      </c>
      <c r="H484" s="20">
        <v>7.76</v>
      </c>
      <c r="J484" s="24" t="s">
        <v>230</v>
      </c>
      <c r="K484" s="26" t="str">
        <f>SUM(K479:K483) &amp; " Orders"</f>
        <v>21635 Orders</v>
      </c>
    </row>
    <row r="485" spans="3:12" x14ac:dyDescent="0.35">
      <c r="D485" s="19" t="s">
        <v>171</v>
      </c>
      <c r="E485" s="7" t="s">
        <v>171</v>
      </c>
      <c r="F485" s="7">
        <v>365</v>
      </c>
      <c r="G485" s="7">
        <v>2.1</v>
      </c>
      <c r="H485" s="20">
        <v>5.12</v>
      </c>
    </row>
    <row r="486" spans="3:12" x14ac:dyDescent="0.35">
      <c r="D486" s="19" t="s">
        <v>168</v>
      </c>
      <c r="E486" s="7" t="s">
        <v>176</v>
      </c>
      <c r="F486" s="7">
        <v>4</v>
      </c>
      <c r="G486" s="7">
        <v>0.02</v>
      </c>
      <c r="H486" s="20">
        <v>0.05</v>
      </c>
    </row>
    <row r="487" spans="3:12" x14ac:dyDescent="0.35">
      <c r="D487" s="19" t="s">
        <v>168</v>
      </c>
      <c r="E487" s="7" t="s">
        <v>178</v>
      </c>
      <c r="F487" s="7">
        <v>1</v>
      </c>
      <c r="G487" s="7">
        <v>0.01</v>
      </c>
      <c r="H487" s="20">
        <v>0.01</v>
      </c>
    </row>
    <row r="488" spans="3:12" x14ac:dyDescent="0.35">
      <c r="D488" s="19" t="s">
        <v>168</v>
      </c>
      <c r="E488" s="7" t="s">
        <v>177</v>
      </c>
      <c r="F488" s="7">
        <v>1</v>
      </c>
      <c r="G488" s="7">
        <v>0.01</v>
      </c>
      <c r="H488" s="20">
        <v>0.01</v>
      </c>
    </row>
    <row r="489" spans="3:12" x14ac:dyDescent="0.35">
      <c r="D489" s="24" t="s">
        <v>230</v>
      </c>
      <c r="E489" s="25"/>
      <c r="F489" s="25">
        <f>SUM(F479:F488)</f>
        <v>5152</v>
      </c>
      <c r="G489" s="25">
        <f>SUM(G479:G488)</f>
        <v>29.600000000000005</v>
      </c>
      <c r="H489" s="26">
        <f>SUM(H479:H488)</f>
        <v>79.990000000000023</v>
      </c>
    </row>
    <row r="491" spans="3:12" x14ac:dyDescent="0.35">
      <c r="C491" s="101" t="s">
        <v>229</v>
      </c>
      <c r="D491" s="101"/>
      <c r="E491" s="101"/>
      <c r="F491" s="101"/>
      <c r="G491" s="101"/>
      <c r="H491" s="101"/>
      <c r="I491" s="101"/>
      <c r="J491" s="101"/>
      <c r="K491" s="101"/>
      <c r="L491" s="101"/>
    </row>
    <row r="492" spans="3:12" x14ac:dyDescent="0.35">
      <c r="C492" s="101"/>
      <c r="D492" s="101"/>
      <c r="E492" s="101"/>
      <c r="F492" s="101"/>
      <c r="G492" s="101"/>
      <c r="H492" s="101"/>
      <c r="I492" s="101"/>
      <c r="J492" s="101"/>
      <c r="K492" s="101"/>
      <c r="L492" s="101"/>
    </row>
    <row r="493" spans="3:12" ht="21" x14ac:dyDescent="0.35">
      <c r="C493" s="68"/>
      <c r="D493" s="68"/>
      <c r="E493" s="68"/>
      <c r="F493" s="68"/>
      <c r="G493" s="68"/>
      <c r="H493" s="68"/>
      <c r="I493" s="68"/>
      <c r="J493" s="68"/>
      <c r="K493" s="68"/>
      <c r="L493" s="68"/>
    </row>
    <row r="494" spans="3:12" x14ac:dyDescent="0.35">
      <c r="C494" s="6" t="s">
        <v>179</v>
      </c>
      <c r="D494" s="6" t="s">
        <v>180</v>
      </c>
      <c r="E494" s="6" t="s">
        <v>181</v>
      </c>
      <c r="F494" s="6" t="s">
        <v>195</v>
      </c>
      <c r="G494" s="6" t="s">
        <v>194</v>
      </c>
      <c r="H494" s="6" t="s">
        <v>196</v>
      </c>
      <c r="I494" s="6" t="s">
        <v>46</v>
      </c>
      <c r="J494" s="6" t="s">
        <v>197</v>
      </c>
      <c r="K494" s="6" t="s">
        <v>239</v>
      </c>
      <c r="L494" s="6" t="s">
        <v>238</v>
      </c>
    </row>
    <row r="495" spans="3:12" x14ac:dyDescent="0.35">
      <c r="C495" s="16" t="s">
        <v>165</v>
      </c>
      <c r="D495" s="17" t="s">
        <v>166</v>
      </c>
      <c r="E495" s="17" t="s">
        <v>166</v>
      </c>
      <c r="F495" s="17">
        <v>5047</v>
      </c>
      <c r="G495" s="17">
        <v>10472</v>
      </c>
      <c r="H495" s="17">
        <v>3224</v>
      </c>
      <c r="I495" s="17">
        <v>10280482.77</v>
      </c>
      <c r="J495" s="17">
        <v>1530</v>
      </c>
      <c r="K495" s="18">
        <v>6719.27</v>
      </c>
      <c r="L495" s="18">
        <v>2264</v>
      </c>
    </row>
    <row r="496" spans="3:12" x14ac:dyDescent="0.35">
      <c r="C496" s="19" t="s">
        <v>172</v>
      </c>
      <c r="D496" s="7" t="s">
        <v>174</v>
      </c>
      <c r="E496" s="7" t="s">
        <v>174</v>
      </c>
      <c r="F496" s="7">
        <v>1725</v>
      </c>
      <c r="G496" s="7">
        <v>4400</v>
      </c>
      <c r="H496" s="7">
        <v>1367</v>
      </c>
      <c r="I496" s="7">
        <v>3330153.13</v>
      </c>
      <c r="J496" s="7">
        <v>511</v>
      </c>
      <c r="K496" s="20">
        <v>6516.93</v>
      </c>
      <c r="L496" s="20">
        <v>2403</v>
      </c>
    </row>
    <row r="497" spans="3:12" x14ac:dyDescent="0.35">
      <c r="C497" s="19" t="s">
        <v>172</v>
      </c>
      <c r="D497" s="7" t="s">
        <v>173</v>
      </c>
      <c r="E497" s="7" t="s">
        <v>173</v>
      </c>
      <c r="F497" s="7">
        <v>2010</v>
      </c>
      <c r="G497" s="7">
        <v>5135</v>
      </c>
      <c r="H497" s="7">
        <v>1649</v>
      </c>
      <c r="I497" s="7">
        <v>3731392.44</v>
      </c>
      <c r="J497" s="7">
        <v>594</v>
      </c>
      <c r="K497" s="20">
        <v>6281.81</v>
      </c>
      <c r="L497" s="20">
        <v>2585</v>
      </c>
    </row>
    <row r="498" spans="3:12" x14ac:dyDescent="0.35">
      <c r="C498" s="19" t="s">
        <v>172</v>
      </c>
      <c r="D498" s="7" t="s">
        <v>175</v>
      </c>
      <c r="E498" s="7" t="s">
        <v>175</v>
      </c>
      <c r="F498" s="7">
        <v>1608</v>
      </c>
      <c r="G498" s="7">
        <v>4126</v>
      </c>
      <c r="H498" s="7">
        <v>1089</v>
      </c>
      <c r="I498" s="7">
        <v>3072470.39</v>
      </c>
      <c r="J498" s="7">
        <v>484</v>
      </c>
      <c r="K498" s="20">
        <v>6348.08</v>
      </c>
      <c r="L498" s="20">
        <v>2629</v>
      </c>
    </row>
    <row r="499" spans="3:12" x14ac:dyDescent="0.35">
      <c r="C499" s="19" t="s">
        <v>167</v>
      </c>
      <c r="D499" s="7" t="s">
        <v>171</v>
      </c>
      <c r="E499" s="7" t="s">
        <v>171</v>
      </c>
      <c r="F499" s="7">
        <v>918</v>
      </c>
      <c r="G499" s="7">
        <v>3712</v>
      </c>
      <c r="H499" s="7">
        <v>913</v>
      </c>
      <c r="I499" s="7">
        <v>2076255.36</v>
      </c>
      <c r="J499" s="7">
        <v>365</v>
      </c>
      <c r="K499" s="20">
        <v>5688.37</v>
      </c>
      <c r="L499" s="20">
        <v>2754</v>
      </c>
    </row>
    <row r="500" spans="3:12" x14ac:dyDescent="0.35">
      <c r="C500" s="19" t="s">
        <v>167</v>
      </c>
      <c r="D500" s="7" t="s">
        <v>168</v>
      </c>
      <c r="E500" s="7" t="s">
        <v>169</v>
      </c>
      <c r="F500" s="7">
        <v>2632</v>
      </c>
      <c r="G500" s="7">
        <v>6212</v>
      </c>
      <c r="H500" s="7">
        <v>1774</v>
      </c>
      <c r="I500" s="7">
        <v>5599498.6600000001</v>
      </c>
      <c r="J500" s="7">
        <v>1001</v>
      </c>
      <c r="K500" s="20">
        <v>5593.9</v>
      </c>
      <c r="L500" s="20">
        <v>2830</v>
      </c>
    </row>
    <row r="501" spans="3:12" x14ac:dyDescent="0.35">
      <c r="C501" s="19" t="s">
        <v>167</v>
      </c>
      <c r="D501" s="7" t="s">
        <v>168</v>
      </c>
      <c r="E501" s="7" t="s">
        <v>170</v>
      </c>
      <c r="F501" s="7">
        <v>1742</v>
      </c>
      <c r="G501" s="7">
        <v>3863</v>
      </c>
      <c r="H501" s="7">
        <v>1226</v>
      </c>
      <c r="I501" s="7">
        <v>3655370.26</v>
      </c>
      <c r="J501" s="7">
        <v>661</v>
      </c>
      <c r="K501" s="20">
        <v>5530.06</v>
      </c>
      <c r="L501" s="20">
        <v>2897</v>
      </c>
    </row>
    <row r="502" spans="3:12" x14ac:dyDescent="0.35">
      <c r="C502" s="19" t="s">
        <v>167</v>
      </c>
      <c r="D502" s="7" t="s">
        <v>168</v>
      </c>
      <c r="E502" s="7" t="s">
        <v>176</v>
      </c>
      <c r="F502" s="7">
        <v>12</v>
      </c>
      <c r="G502" s="7">
        <v>51</v>
      </c>
      <c r="H502" s="7">
        <v>29</v>
      </c>
      <c r="I502" s="7">
        <v>19506.02</v>
      </c>
      <c r="J502" s="7">
        <v>4</v>
      </c>
      <c r="K502" s="20">
        <v>4876.5</v>
      </c>
      <c r="L502" s="20">
        <v>3303</v>
      </c>
    </row>
    <row r="503" spans="3:12" x14ac:dyDescent="0.35">
      <c r="C503" s="19" t="s">
        <v>167</v>
      </c>
      <c r="D503" s="7" t="s">
        <v>168</v>
      </c>
      <c r="E503" s="7" t="s">
        <v>178</v>
      </c>
      <c r="F503" s="7">
        <v>2</v>
      </c>
      <c r="G503" s="7">
        <v>0</v>
      </c>
      <c r="H503" s="7">
        <v>0</v>
      </c>
      <c r="I503" s="7">
        <v>4142.84</v>
      </c>
      <c r="J503" s="7">
        <v>1</v>
      </c>
      <c r="K503" s="20">
        <v>4142.84</v>
      </c>
      <c r="L503" s="20">
        <v>3877</v>
      </c>
    </row>
    <row r="504" spans="3:12" x14ac:dyDescent="0.35">
      <c r="C504" s="19" t="s">
        <v>167</v>
      </c>
      <c r="D504" s="7" t="s">
        <v>168</v>
      </c>
      <c r="E504" s="7" t="s">
        <v>177</v>
      </c>
      <c r="F504" s="7">
        <v>2</v>
      </c>
      <c r="G504" s="7">
        <v>4</v>
      </c>
      <c r="H504" s="7">
        <v>0</v>
      </c>
      <c r="I504" s="7">
        <v>3541.94</v>
      </c>
      <c r="J504" s="7">
        <v>1</v>
      </c>
      <c r="K504" s="20">
        <v>3541.94</v>
      </c>
      <c r="L504" s="20">
        <v>4402</v>
      </c>
    </row>
    <row r="505" spans="3:12" x14ac:dyDescent="0.35">
      <c r="C505" s="63" t="s">
        <v>230</v>
      </c>
      <c r="D505" s="64"/>
      <c r="E505" s="64"/>
      <c r="F505" s="25">
        <f>SUM(F495:F504)</f>
        <v>15698</v>
      </c>
      <c r="G505" s="25">
        <f>SUM(G495:G504)</f>
        <v>37975</v>
      </c>
      <c r="H505" s="25">
        <f>SUM(H495:H504)</f>
        <v>11271</v>
      </c>
      <c r="I505" s="25">
        <f>SUM(I495:I504)</f>
        <v>31772813.809999999</v>
      </c>
      <c r="J505" s="25">
        <f>SUM(J495:J504)</f>
        <v>5152</v>
      </c>
      <c r="K505" s="25"/>
      <c r="L505" s="26"/>
    </row>
  </sheetData>
  <mergeCells count="29">
    <mergeCell ref="D334:L335"/>
    <mergeCell ref="C140:F140"/>
    <mergeCell ref="C53:K54"/>
    <mergeCell ref="G173:I173"/>
    <mergeCell ref="C184:J184"/>
    <mergeCell ref="H140:L140"/>
    <mergeCell ref="C227:M228"/>
    <mergeCell ref="C218:H219"/>
    <mergeCell ref="C163:F164"/>
    <mergeCell ref="C171:E172"/>
    <mergeCell ref="F38:I39"/>
    <mergeCell ref="F160:I161"/>
    <mergeCell ref="C41:L42"/>
    <mergeCell ref="C181:J182"/>
    <mergeCell ref="C176:C177"/>
    <mergeCell ref="C178:C179"/>
    <mergeCell ref="C174:C175"/>
    <mergeCell ref="C7:C9"/>
    <mergeCell ref="C10:C12"/>
    <mergeCell ref="C14:I15"/>
    <mergeCell ref="C17:I18"/>
    <mergeCell ref="E2:G3"/>
    <mergeCell ref="D475:H476"/>
    <mergeCell ref="C491:L492"/>
    <mergeCell ref="J475:K476"/>
    <mergeCell ref="C369:L370"/>
    <mergeCell ref="C462:L463"/>
    <mergeCell ref="C465:L466"/>
    <mergeCell ref="D386:L387"/>
  </mergeCells>
  <conditionalFormatting sqref="D167:D170 D21:D36 D162 D52 D160">
    <cfRule type="duplicateValues" dxfId="0" priority="39"/>
  </conditionalFormatting>
  <conditionalFormatting sqref="E174:E175">
    <cfRule type="iconSet" priority="25">
      <iconSet iconSet="3Arrows">
        <cfvo type="percent" val="0"/>
        <cfvo type="percent" val="33"/>
        <cfvo type="percent" val="67"/>
      </iconSet>
    </cfRule>
  </conditionalFormatting>
  <conditionalFormatting sqref="E174:E180">
    <cfRule type="iconSet" priority="19">
      <iconSet iconSet="3Arrows">
        <cfvo type="percent" val="0"/>
        <cfvo type="percent" val="0"/>
        <cfvo type="percent" val="6"/>
      </iconSet>
    </cfRule>
  </conditionalFormatting>
  <conditionalFormatting sqref="E177">
    <cfRule type="iconSet" priority="24">
      <iconSet iconSet="3Arrows">
        <cfvo type="percent" val="0"/>
        <cfvo type="percent" val="33"/>
        <cfvo type="percent" val="67"/>
      </iconSet>
    </cfRule>
  </conditionalFormatting>
  <conditionalFormatting sqref="E179:E180">
    <cfRule type="iconSet" priority="23">
      <iconSet iconSet="3Arrows">
        <cfvo type="percent" val="0"/>
        <cfvo type="percent" val="33"/>
        <cfvo type="percent" val="67"/>
      </iconSet>
    </cfRule>
  </conditionalFormatting>
  <conditionalFormatting sqref="F21:F25">
    <cfRule type="iconSet" priority="28">
      <iconSet iconSet="4Rating">
        <cfvo type="percent" val="0"/>
        <cfvo type="percent" val="25"/>
        <cfvo type="percent" val="50"/>
        <cfvo type="percent" val="75"/>
      </iconSet>
    </cfRule>
  </conditionalFormatting>
  <conditionalFormatting sqref="F26:F30">
    <cfRule type="iconSet" priority="27">
      <iconSet iconSet="4Rating">
        <cfvo type="percent" val="0"/>
        <cfvo type="percent" val="25"/>
        <cfvo type="percent" val="50"/>
        <cfvo type="percent" val="75"/>
      </iconSet>
    </cfRule>
  </conditionalFormatting>
  <conditionalFormatting sqref="F162 E52 F31:F36">
    <cfRule type="iconSet" priority="38">
      <iconSet iconSet="4Rating">
        <cfvo type="percent" val="0"/>
        <cfvo type="percent" val="25"/>
        <cfvo type="percent" val="50"/>
        <cfvo type="percent" val="75"/>
      </iconSet>
    </cfRule>
  </conditionalFormatting>
  <conditionalFormatting sqref="H479:H488">
    <cfRule type="colorScale" priority="9">
      <colorScale>
        <cfvo type="min"/>
        <cfvo type="percentile" val="50"/>
        <cfvo type="max"/>
        <color theme="5"/>
        <color rgb="FFFFEB84"/>
        <color theme="9"/>
      </colorScale>
    </cfRule>
  </conditionalFormatting>
  <conditionalFormatting sqref="I21:I25">
    <cfRule type="iconSet" priority="2">
      <iconSet iconSet="4Rating">
        <cfvo type="percent" val="0"/>
        <cfvo type="percent" val="25"/>
        <cfvo type="percent" val="50"/>
        <cfvo type="percent" val="75"/>
      </iconSet>
    </cfRule>
  </conditionalFormatting>
  <conditionalFormatting sqref="I26:I30">
    <cfRule type="iconSet" priority="1">
      <iconSet iconSet="4Rating">
        <cfvo type="percent" val="0"/>
        <cfvo type="percent" val="25"/>
        <cfvo type="percent" val="50"/>
        <cfvo type="percent" val="75"/>
      </iconSet>
    </cfRule>
  </conditionalFormatting>
  <conditionalFormatting sqref="I31:I35">
    <cfRule type="iconSet" priority="3">
      <iconSet iconSet="4Rating">
        <cfvo type="percent" val="0"/>
        <cfvo type="percent" val="25"/>
        <cfvo type="percent" val="50"/>
        <cfvo type="percent" val="75"/>
      </iconSet>
    </cfRule>
  </conditionalFormatting>
  <conditionalFormatting sqref="J217:J222 J224:J225">
    <cfRule type="iconSet" priority="30">
      <iconSet iconSet="3Arrows">
        <cfvo type="percent" val="0"/>
        <cfvo type="percent" val="33"/>
        <cfvo type="percent" val="67"/>
      </iconSet>
    </cfRule>
  </conditionalFormatting>
  <conditionalFormatting sqref="K337 J230:J333 J366:J367">
    <cfRule type="iconSet" priority="43">
      <iconSet iconSet="3Arrows">
        <cfvo type="percent" val="0"/>
        <cfvo type="percent" val="33"/>
        <cfvo type="percent" val="67"/>
      </iconSet>
    </cfRule>
  </conditionalFormatting>
  <conditionalFormatting sqref="K479:K483">
    <cfRule type="colorScale" priority="10">
      <colorScale>
        <cfvo type="min"/>
        <cfvo type="max"/>
        <color rgb="FFFCFCFF"/>
        <color rgb="FF63BE7B"/>
      </colorScale>
    </cfRule>
  </conditionalFormatting>
  <conditionalFormatting sqref="K495:K504">
    <cfRule type="colorScale" priority="8">
      <colorScale>
        <cfvo type="min"/>
        <cfvo type="percentile" val="50"/>
        <cfvo type="max"/>
        <color theme="5"/>
        <color rgb="FFFFEB84"/>
        <color theme="9"/>
      </colorScale>
    </cfRule>
  </conditionalFormatting>
  <conditionalFormatting sqref="L338:L365">
    <cfRule type="colorScale" priority="7">
      <colorScale>
        <cfvo type="min"/>
        <cfvo type="percentile" val="50"/>
        <cfvo type="max"/>
        <color theme="5"/>
        <color rgb="FFFFEB84"/>
        <color theme="9"/>
      </colorScale>
    </cfRule>
  </conditionalFormatting>
  <conditionalFormatting sqref="M373:M383">
    <cfRule type="colorScale" priority="4">
      <colorScale>
        <cfvo type="min"/>
        <cfvo type="percentile" val="50"/>
        <cfvo type="max"/>
        <color rgb="FF63BE7B"/>
        <color rgb="FFFFEB84"/>
        <color rgb="FFF8696B"/>
      </colorScale>
    </cfRule>
  </conditionalFormatting>
  <pageMargins left="0.7" right="0.7" top="0.75" bottom="0.75" header="0.3" footer="0.3"/>
  <pageSetup orientation="portrait" r:id="rId1"/>
  <drawing r:id="rId2"/>
  <tableParts count="5">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iconSet" priority="42" id="{A0DBB789-6F6B-47E1-8C97-FE10C398D814}">
            <x14:iconSet iconSet="3Triangles" reverse="1">
              <x14:cfvo type="percent">
                <xm:f>0</xm:f>
              </x14:cfvo>
              <x14:cfvo type="percent">
                <xm:f>33</xm:f>
              </x14:cfvo>
              <x14:cfvo type="percent">
                <xm:f>67</xm:f>
              </x14:cfvo>
            </x14:iconSet>
          </x14:cfRule>
          <xm:sqref>K337 J230:J333 J366:J367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D6C-9A0F-46E0-8988-E326F39D037C}">
  <dimension ref="A1:L83"/>
  <sheetViews>
    <sheetView workbookViewId="0">
      <selection activeCell="C34" sqref="C34"/>
    </sheetView>
  </sheetViews>
  <sheetFormatPr defaultRowHeight="14.5" x14ac:dyDescent="0.35"/>
  <cols>
    <col min="1" max="1" width="9" customWidth="1"/>
    <col min="2" max="2" width="14.90625" bestFit="1" customWidth="1"/>
    <col min="3" max="3" width="15.26953125" bestFit="1" customWidth="1"/>
    <col min="4" max="5" width="4.81640625" bestFit="1" customWidth="1"/>
    <col min="6" max="6" width="10.7265625" bestFit="1" customWidth="1"/>
    <col min="7" max="7" width="9.1796875" bestFit="1" customWidth="1"/>
    <col min="8" max="8" width="11" bestFit="1" customWidth="1"/>
    <col min="9" max="9" width="8.453125" bestFit="1" customWidth="1"/>
    <col min="10" max="10" width="8.54296875" bestFit="1" customWidth="1"/>
    <col min="11" max="11" width="10.1796875" bestFit="1" customWidth="1"/>
    <col min="12" max="12" width="4" bestFit="1" customWidth="1"/>
  </cols>
  <sheetData>
    <row r="1" spans="1:12" x14ac:dyDescent="0.35">
      <c r="B1" t="s">
        <v>281</v>
      </c>
    </row>
    <row r="2" spans="1:12" x14ac:dyDescent="0.35">
      <c r="A2" s="94" t="s">
        <v>0</v>
      </c>
      <c r="B2" s="94" t="s">
        <v>25</v>
      </c>
      <c r="C2" s="94" t="s">
        <v>24</v>
      </c>
      <c r="D2" s="94" t="s">
        <v>48</v>
      </c>
      <c r="E2" s="94" t="s">
        <v>211</v>
      </c>
      <c r="F2" s="94" t="s">
        <v>131</v>
      </c>
      <c r="G2" s="94" t="s">
        <v>275</v>
      </c>
      <c r="H2" s="94" t="s">
        <v>214</v>
      </c>
      <c r="I2" s="94" t="s">
        <v>276</v>
      </c>
      <c r="J2" s="94" t="s">
        <v>132</v>
      </c>
      <c r="K2" s="94" t="s">
        <v>277</v>
      </c>
      <c r="L2" s="94" t="s">
        <v>278</v>
      </c>
    </row>
    <row r="3" spans="1:12" x14ac:dyDescent="0.35">
      <c r="A3" s="93">
        <v>2015</v>
      </c>
      <c r="B3" s="93" t="s">
        <v>2</v>
      </c>
      <c r="C3" s="93" t="s">
        <v>6</v>
      </c>
      <c r="D3" s="93" t="s">
        <v>53</v>
      </c>
      <c r="E3" s="93">
        <v>1161</v>
      </c>
      <c r="F3" s="93">
        <v>2.6</v>
      </c>
      <c r="G3" s="93">
        <v>45.8</v>
      </c>
      <c r="H3" s="93">
        <v>4.2</v>
      </c>
      <c r="I3" s="93">
        <v>44.7</v>
      </c>
      <c r="J3" s="93">
        <v>1.5</v>
      </c>
      <c r="K3" s="93">
        <v>42.9</v>
      </c>
      <c r="L3" s="93">
        <v>1</v>
      </c>
    </row>
    <row r="4" spans="1:12" x14ac:dyDescent="0.35">
      <c r="A4" s="93">
        <v>2015</v>
      </c>
      <c r="B4" s="93" t="s">
        <v>2</v>
      </c>
      <c r="C4" s="93" t="s">
        <v>6</v>
      </c>
      <c r="D4" s="93" t="s">
        <v>55</v>
      </c>
      <c r="E4" s="93">
        <v>1001</v>
      </c>
      <c r="F4" s="93">
        <v>1.4</v>
      </c>
      <c r="G4" s="93">
        <v>25</v>
      </c>
      <c r="H4" s="93">
        <v>2.2999999999999998</v>
      </c>
      <c r="I4" s="93">
        <v>24.5</v>
      </c>
      <c r="J4" s="93">
        <v>0.8</v>
      </c>
      <c r="K4" s="93">
        <v>23.6</v>
      </c>
      <c r="L4" s="93">
        <v>2</v>
      </c>
    </row>
    <row r="5" spans="1:12" x14ac:dyDescent="0.35">
      <c r="A5" s="93">
        <v>2015</v>
      </c>
      <c r="B5" s="93" t="s">
        <v>2</v>
      </c>
      <c r="C5" s="93" t="s">
        <v>60</v>
      </c>
      <c r="D5" s="93" t="s">
        <v>58</v>
      </c>
      <c r="E5" s="93">
        <v>568</v>
      </c>
      <c r="F5" s="93">
        <v>0.7</v>
      </c>
      <c r="G5" s="93">
        <v>11.4</v>
      </c>
      <c r="H5" s="93">
        <v>1.2</v>
      </c>
      <c r="I5" s="93">
        <v>12.6</v>
      </c>
      <c r="J5" s="93">
        <v>0.5</v>
      </c>
      <c r="K5" s="93">
        <v>14.5</v>
      </c>
      <c r="L5" s="93">
        <v>3</v>
      </c>
    </row>
    <row r="6" spans="1:12" x14ac:dyDescent="0.35">
      <c r="A6" s="93">
        <v>2015</v>
      </c>
      <c r="B6" s="93" t="s">
        <v>2</v>
      </c>
      <c r="C6" s="93" t="s">
        <v>60</v>
      </c>
      <c r="D6" s="93" t="s">
        <v>61</v>
      </c>
      <c r="E6" s="93">
        <v>317</v>
      </c>
      <c r="F6" s="93">
        <v>0.6</v>
      </c>
      <c r="G6" s="93">
        <v>11.1</v>
      </c>
      <c r="H6" s="93">
        <v>1.1000000000000001</v>
      </c>
      <c r="I6" s="93">
        <v>11.6</v>
      </c>
      <c r="J6" s="93">
        <v>0.4</v>
      </c>
      <c r="K6" s="93">
        <v>12.3</v>
      </c>
      <c r="L6" s="93">
        <v>4</v>
      </c>
    </row>
    <row r="7" spans="1:12" x14ac:dyDescent="0.35">
      <c r="A7" s="93">
        <v>2015</v>
      </c>
      <c r="B7" s="93" t="s">
        <v>2</v>
      </c>
      <c r="C7" s="93" t="s">
        <v>6</v>
      </c>
      <c r="D7" s="93" t="s">
        <v>57</v>
      </c>
      <c r="E7" s="93">
        <v>574</v>
      </c>
      <c r="F7" s="93">
        <v>0.2</v>
      </c>
      <c r="G7" s="93">
        <v>4.3</v>
      </c>
      <c r="H7" s="93">
        <v>0.4</v>
      </c>
      <c r="I7" s="93">
        <v>4.3</v>
      </c>
      <c r="J7" s="93">
        <v>0.2</v>
      </c>
      <c r="K7" s="93">
        <v>4.3</v>
      </c>
      <c r="L7" s="93">
        <v>5</v>
      </c>
    </row>
    <row r="8" spans="1:12" x14ac:dyDescent="0.35">
      <c r="A8" s="93">
        <v>2016</v>
      </c>
      <c r="B8" s="93" t="s">
        <v>2</v>
      </c>
      <c r="C8" s="93" t="s">
        <v>60</v>
      </c>
      <c r="D8" s="93" t="s">
        <v>58</v>
      </c>
      <c r="E8" s="93">
        <v>2417</v>
      </c>
      <c r="F8" s="93">
        <v>2.8</v>
      </c>
      <c r="G8" s="93">
        <v>32.799999999999997</v>
      </c>
      <c r="H8" s="93">
        <v>5</v>
      </c>
      <c r="I8" s="93">
        <v>34.700000000000003</v>
      </c>
      <c r="J8" s="93">
        <v>2.2000000000000002</v>
      </c>
      <c r="K8" s="93">
        <v>37.299999999999997</v>
      </c>
      <c r="L8" s="93">
        <v>1</v>
      </c>
    </row>
    <row r="9" spans="1:12" x14ac:dyDescent="0.35">
      <c r="A9" s="93">
        <v>2016</v>
      </c>
      <c r="B9" s="93" t="s">
        <v>2</v>
      </c>
      <c r="C9" s="93" t="s">
        <v>6</v>
      </c>
      <c r="D9" s="93" t="s">
        <v>55</v>
      </c>
      <c r="E9" s="93">
        <v>1297</v>
      </c>
      <c r="F9" s="93">
        <v>1.8</v>
      </c>
      <c r="G9" s="93">
        <v>21.7</v>
      </c>
      <c r="H9" s="93">
        <v>2.9</v>
      </c>
      <c r="I9" s="93">
        <v>20.2</v>
      </c>
      <c r="J9" s="93">
        <v>1.1000000000000001</v>
      </c>
      <c r="K9" s="93">
        <v>18</v>
      </c>
      <c r="L9" s="93">
        <v>2</v>
      </c>
    </row>
    <row r="10" spans="1:12" ht="43.5" x14ac:dyDescent="0.35">
      <c r="A10" s="93">
        <v>2016</v>
      </c>
      <c r="B10" s="93" t="s">
        <v>2</v>
      </c>
      <c r="C10" s="93" t="s">
        <v>102</v>
      </c>
      <c r="D10" s="93" t="s">
        <v>101</v>
      </c>
      <c r="E10" s="93">
        <v>667</v>
      </c>
      <c r="F10" s="93">
        <v>1</v>
      </c>
      <c r="G10" s="93">
        <v>12</v>
      </c>
      <c r="H10" s="93">
        <v>1.6</v>
      </c>
      <c r="I10" s="93">
        <v>11.1</v>
      </c>
      <c r="J10" s="93">
        <v>0.6</v>
      </c>
      <c r="K10" s="93">
        <v>9.6999999999999993</v>
      </c>
      <c r="L10" s="93">
        <v>3</v>
      </c>
    </row>
    <row r="11" spans="1:12" ht="58" x14ac:dyDescent="0.35">
      <c r="A11" s="93">
        <v>2016</v>
      </c>
      <c r="B11" s="93" t="s">
        <v>2</v>
      </c>
      <c r="C11" s="93" t="s">
        <v>6</v>
      </c>
      <c r="D11" s="93" t="s">
        <v>62</v>
      </c>
      <c r="E11" s="93">
        <v>872</v>
      </c>
      <c r="F11" s="93">
        <v>0.5</v>
      </c>
      <c r="G11" s="93">
        <v>6.5</v>
      </c>
      <c r="H11" s="93">
        <v>0.9</v>
      </c>
      <c r="I11" s="93">
        <v>6.1</v>
      </c>
      <c r="J11" s="93">
        <v>0.3</v>
      </c>
      <c r="K11" s="93">
        <v>5.4</v>
      </c>
      <c r="L11" s="93">
        <v>4</v>
      </c>
    </row>
    <row r="12" spans="1:12" ht="58" x14ac:dyDescent="0.35">
      <c r="A12" s="93">
        <v>2016</v>
      </c>
      <c r="B12" s="93" t="s">
        <v>2</v>
      </c>
      <c r="C12" s="93" t="s">
        <v>6</v>
      </c>
      <c r="D12" s="93" t="s">
        <v>99</v>
      </c>
      <c r="E12" s="93">
        <v>462</v>
      </c>
      <c r="F12" s="93">
        <v>0.5</v>
      </c>
      <c r="G12" s="93">
        <v>6.1</v>
      </c>
      <c r="H12" s="93">
        <v>0.8</v>
      </c>
      <c r="I12" s="93">
        <v>5.5</v>
      </c>
      <c r="J12" s="93">
        <v>0.3</v>
      </c>
      <c r="K12" s="93">
        <v>4.5999999999999996</v>
      </c>
      <c r="L12" s="93">
        <v>5</v>
      </c>
    </row>
    <row r="13" spans="1:12" ht="58" x14ac:dyDescent="0.35">
      <c r="A13" s="93">
        <v>2017</v>
      </c>
      <c r="B13" s="93" t="s">
        <v>2</v>
      </c>
      <c r="C13" s="93" t="s">
        <v>60</v>
      </c>
      <c r="D13" s="93" t="s">
        <v>58</v>
      </c>
      <c r="E13" s="93">
        <v>2110</v>
      </c>
      <c r="F13" s="93">
        <v>2.4</v>
      </c>
      <c r="G13" s="93">
        <v>28.5</v>
      </c>
      <c r="H13" s="93">
        <v>4.3</v>
      </c>
      <c r="I13" s="93">
        <v>30.2</v>
      </c>
      <c r="J13" s="93">
        <v>1.9</v>
      </c>
      <c r="K13" s="93">
        <v>32.6</v>
      </c>
      <c r="L13" s="93">
        <v>1</v>
      </c>
    </row>
    <row r="14" spans="1:12" ht="43.5" x14ac:dyDescent="0.35">
      <c r="A14" s="93">
        <v>2017</v>
      </c>
      <c r="B14" s="93" t="s">
        <v>2</v>
      </c>
      <c r="C14" s="93" t="s">
        <v>102</v>
      </c>
      <c r="D14" s="93" t="s">
        <v>101</v>
      </c>
      <c r="E14" s="93">
        <v>1196</v>
      </c>
      <c r="F14" s="93">
        <v>1.8</v>
      </c>
      <c r="G14" s="93">
        <v>21.7</v>
      </c>
      <c r="H14" s="93">
        <v>2.9</v>
      </c>
      <c r="I14" s="93">
        <v>19.8</v>
      </c>
      <c r="J14" s="93">
        <v>1</v>
      </c>
      <c r="K14" s="93">
        <v>17.100000000000001</v>
      </c>
      <c r="L14" s="93">
        <v>2</v>
      </c>
    </row>
    <row r="15" spans="1:12" ht="58" x14ac:dyDescent="0.35">
      <c r="A15" s="93">
        <v>2017</v>
      </c>
      <c r="B15" s="93" t="s">
        <v>2</v>
      </c>
      <c r="C15" s="93" t="s">
        <v>6</v>
      </c>
      <c r="D15" s="93" t="s">
        <v>99</v>
      </c>
      <c r="E15" s="93">
        <v>882</v>
      </c>
      <c r="F15" s="93">
        <v>1</v>
      </c>
      <c r="G15" s="93">
        <v>11.7</v>
      </c>
      <c r="H15" s="93">
        <v>1.5</v>
      </c>
      <c r="I15" s="93">
        <v>10.4</v>
      </c>
      <c r="J15" s="93">
        <v>0.5</v>
      </c>
      <c r="K15" s="93">
        <v>8.6999999999999993</v>
      </c>
      <c r="L15" s="93">
        <v>3</v>
      </c>
    </row>
    <row r="16" spans="1:12" ht="43.5" x14ac:dyDescent="0.35">
      <c r="A16" s="93">
        <v>2017</v>
      </c>
      <c r="B16" s="93" t="s">
        <v>2</v>
      </c>
      <c r="C16" s="93" t="s">
        <v>6</v>
      </c>
      <c r="D16" s="93" t="s">
        <v>55</v>
      </c>
      <c r="E16" s="93">
        <v>435</v>
      </c>
      <c r="F16" s="93">
        <v>0.6</v>
      </c>
      <c r="G16" s="93">
        <v>7</v>
      </c>
      <c r="H16" s="93">
        <v>0.9</v>
      </c>
      <c r="I16" s="93">
        <v>6.6</v>
      </c>
      <c r="J16" s="93">
        <v>0.4</v>
      </c>
      <c r="K16" s="93">
        <v>6</v>
      </c>
      <c r="L16" s="93">
        <v>4</v>
      </c>
    </row>
    <row r="17" spans="1:12" ht="58" x14ac:dyDescent="0.35">
      <c r="A17" s="93">
        <v>2017</v>
      </c>
      <c r="B17" s="93" t="s">
        <v>2</v>
      </c>
      <c r="C17" s="93" t="s">
        <v>6</v>
      </c>
      <c r="D17" s="93" t="s">
        <v>62</v>
      </c>
      <c r="E17" s="93">
        <v>894</v>
      </c>
      <c r="F17" s="93">
        <v>0.6</v>
      </c>
      <c r="G17" s="93">
        <v>6.5</v>
      </c>
      <c r="H17" s="93">
        <v>0.9</v>
      </c>
      <c r="I17" s="93">
        <v>6.2</v>
      </c>
      <c r="J17" s="93">
        <v>0.3</v>
      </c>
      <c r="K17" s="93">
        <v>5.8</v>
      </c>
      <c r="L17" s="93">
        <v>5</v>
      </c>
    </row>
    <row r="18" spans="1:12" x14ac:dyDescent="0.35">
      <c r="A18" s="93"/>
      <c r="B18" s="93"/>
      <c r="C18" s="93"/>
      <c r="D18" s="93"/>
      <c r="E18" s="93"/>
      <c r="F18" s="93"/>
      <c r="G18" s="93"/>
      <c r="H18" s="93"/>
      <c r="I18" s="93"/>
      <c r="J18" s="93"/>
      <c r="K18" s="93"/>
      <c r="L18" s="93"/>
    </row>
    <row r="19" spans="1:12" x14ac:dyDescent="0.35">
      <c r="A19" s="93"/>
      <c r="B19" s="93"/>
      <c r="C19" s="93"/>
      <c r="D19" s="93"/>
      <c r="E19" s="93"/>
      <c r="F19" s="93"/>
      <c r="G19" s="93"/>
      <c r="H19" s="93"/>
      <c r="I19" s="93"/>
      <c r="J19" s="93"/>
      <c r="K19" s="93"/>
      <c r="L19" s="93"/>
    </row>
    <row r="20" spans="1:12" x14ac:dyDescent="0.35">
      <c r="A20" s="93"/>
      <c r="B20" s="93"/>
      <c r="C20" s="93"/>
      <c r="D20" s="93"/>
      <c r="E20" s="93"/>
      <c r="F20" s="93"/>
      <c r="G20" s="93"/>
      <c r="H20" s="93"/>
      <c r="I20" s="93"/>
      <c r="J20" s="93"/>
      <c r="K20" s="93"/>
      <c r="L20" s="93"/>
    </row>
    <row r="21" spans="1:12" x14ac:dyDescent="0.35">
      <c r="A21" s="93"/>
      <c r="B21" s="9" t="s">
        <v>279</v>
      </c>
      <c r="C21" s="9" t="s">
        <v>280</v>
      </c>
      <c r="G21" s="93"/>
      <c r="H21" s="93"/>
      <c r="I21" s="93"/>
      <c r="J21" s="93"/>
      <c r="K21" s="93"/>
      <c r="L21" s="93"/>
    </row>
    <row r="22" spans="1:12" x14ac:dyDescent="0.35">
      <c r="A22" s="93"/>
      <c r="B22" s="9" t="s">
        <v>48</v>
      </c>
      <c r="C22">
        <v>2015</v>
      </c>
      <c r="D22">
        <v>2016</v>
      </c>
      <c r="E22">
        <v>2017</v>
      </c>
      <c r="F22" t="s">
        <v>209</v>
      </c>
      <c r="G22" s="93"/>
      <c r="H22" s="93"/>
      <c r="I22" s="93"/>
      <c r="J22" s="93"/>
      <c r="K22" s="93"/>
      <c r="L22" s="93"/>
    </row>
    <row r="23" spans="1:12" x14ac:dyDescent="0.35">
      <c r="A23" s="93"/>
      <c r="B23" s="10" t="s">
        <v>61</v>
      </c>
      <c r="C23">
        <v>0.4</v>
      </c>
      <c r="F23">
        <v>0.4</v>
      </c>
      <c r="G23" s="93"/>
      <c r="H23" s="93"/>
      <c r="I23" s="93"/>
      <c r="J23" s="93"/>
      <c r="K23" s="93"/>
      <c r="L23" s="93"/>
    </row>
    <row r="24" spans="1:12" x14ac:dyDescent="0.35">
      <c r="A24" s="93"/>
      <c r="B24" s="10" t="s">
        <v>58</v>
      </c>
      <c r="C24">
        <v>0.5</v>
      </c>
      <c r="D24">
        <v>2.2000000000000002</v>
      </c>
      <c r="E24">
        <v>1.9</v>
      </c>
      <c r="F24">
        <v>4.5999999999999996</v>
      </c>
      <c r="G24" s="93"/>
      <c r="H24" s="93"/>
      <c r="I24" s="93"/>
      <c r="J24" s="93"/>
      <c r="K24" s="93"/>
      <c r="L24" s="93"/>
    </row>
    <row r="25" spans="1:12" x14ac:dyDescent="0.35">
      <c r="A25" s="93"/>
      <c r="B25" s="10" t="s">
        <v>53</v>
      </c>
      <c r="C25">
        <v>1.5</v>
      </c>
      <c r="F25">
        <v>1.5</v>
      </c>
      <c r="G25" s="93"/>
      <c r="H25" s="93"/>
      <c r="I25" s="93"/>
      <c r="J25" s="93"/>
      <c r="K25" s="93"/>
      <c r="L25" s="93"/>
    </row>
    <row r="26" spans="1:12" x14ac:dyDescent="0.35">
      <c r="A26" s="93"/>
      <c r="B26" s="10" t="s">
        <v>55</v>
      </c>
      <c r="C26">
        <v>0.8</v>
      </c>
      <c r="D26">
        <v>1.1000000000000001</v>
      </c>
      <c r="E26">
        <v>0.4</v>
      </c>
      <c r="F26">
        <v>2.3000000000000003</v>
      </c>
      <c r="G26" s="93"/>
      <c r="H26" s="93"/>
      <c r="I26" s="93"/>
      <c r="J26" s="93"/>
      <c r="K26" s="93"/>
      <c r="L26" s="93"/>
    </row>
    <row r="27" spans="1:12" x14ac:dyDescent="0.35">
      <c r="A27" s="93"/>
      <c r="B27" s="10" t="s">
        <v>99</v>
      </c>
      <c r="D27">
        <v>0.3</v>
      </c>
      <c r="E27">
        <v>0.5</v>
      </c>
      <c r="F27">
        <v>0.8</v>
      </c>
      <c r="G27" s="93"/>
      <c r="H27" s="93"/>
      <c r="I27" s="93"/>
      <c r="J27" s="93"/>
      <c r="K27" s="93"/>
      <c r="L27" s="93"/>
    </row>
    <row r="28" spans="1:12" x14ac:dyDescent="0.35">
      <c r="A28" s="93"/>
      <c r="B28" s="10" t="s">
        <v>62</v>
      </c>
      <c r="D28">
        <v>0.3</v>
      </c>
      <c r="E28">
        <v>0.3</v>
      </c>
      <c r="F28">
        <v>0.6</v>
      </c>
      <c r="G28" s="93"/>
      <c r="H28" s="93"/>
      <c r="I28" s="93"/>
      <c r="J28" s="93"/>
      <c r="K28" s="93"/>
      <c r="L28" s="93"/>
    </row>
    <row r="29" spans="1:12" x14ac:dyDescent="0.35">
      <c r="A29" s="93"/>
      <c r="B29" s="10" t="s">
        <v>57</v>
      </c>
      <c r="C29">
        <v>0.2</v>
      </c>
      <c r="F29">
        <v>0.2</v>
      </c>
      <c r="G29" s="93"/>
      <c r="H29" s="93"/>
      <c r="I29" s="93"/>
      <c r="J29" s="93"/>
      <c r="K29" s="93"/>
      <c r="L29" s="93"/>
    </row>
    <row r="30" spans="1:12" x14ac:dyDescent="0.35">
      <c r="A30" s="93"/>
      <c r="B30" s="10" t="s">
        <v>101</v>
      </c>
      <c r="D30">
        <v>0.6</v>
      </c>
      <c r="E30">
        <v>1</v>
      </c>
      <c r="F30">
        <v>1.6</v>
      </c>
      <c r="G30" s="93"/>
      <c r="H30" s="93"/>
      <c r="I30" s="93"/>
      <c r="J30" s="93"/>
      <c r="K30" s="93"/>
      <c r="L30" s="93"/>
    </row>
    <row r="31" spans="1:12" x14ac:dyDescent="0.35">
      <c r="A31" s="93"/>
      <c r="B31" s="10" t="s">
        <v>209</v>
      </c>
      <c r="C31">
        <v>3.4000000000000004</v>
      </c>
      <c r="D31">
        <v>4.5</v>
      </c>
      <c r="E31">
        <v>4.0999999999999996</v>
      </c>
      <c r="F31">
        <v>12</v>
      </c>
      <c r="G31" s="93"/>
      <c r="H31" s="93"/>
      <c r="I31" s="93"/>
      <c r="J31" s="93"/>
      <c r="K31" s="93"/>
      <c r="L31" s="93"/>
    </row>
    <row r="32" spans="1:12" x14ac:dyDescent="0.35">
      <c r="A32" s="93"/>
      <c r="E32" s="93"/>
      <c r="F32" s="93"/>
      <c r="G32" s="93"/>
      <c r="H32" s="93"/>
      <c r="I32" s="93"/>
      <c r="J32" s="93"/>
      <c r="K32" s="93"/>
      <c r="L32" s="93"/>
    </row>
    <row r="33" spans="1:12" x14ac:dyDescent="0.35">
      <c r="A33" s="93"/>
      <c r="E33" s="93"/>
      <c r="F33" s="93"/>
      <c r="G33" s="93"/>
      <c r="H33" s="93"/>
      <c r="I33" s="93"/>
      <c r="J33" s="93"/>
      <c r="K33" s="93"/>
      <c r="L33" s="93"/>
    </row>
    <row r="34" spans="1:12" x14ac:dyDescent="0.35">
      <c r="A34" s="93"/>
      <c r="E34" s="93"/>
      <c r="F34" s="93"/>
      <c r="G34" s="93"/>
      <c r="H34" s="93"/>
      <c r="I34" s="93"/>
      <c r="J34" s="93"/>
      <c r="K34" s="93"/>
      <c r="L34" s="93"/>
    </row>
    <row r="35" spans="1:12" x14ac:dyDescent="0.35">
      <c r="A35" s="93"/>
      <c r="E35" s="93"/>
      <c r="F35" s="93"/>
      <c r="G35" s="93"/>
      <c r="H35" s="93"/>
      <c r="I35" s="93"/>
      <c r="J35" s="93"/>
      <c r="K35" s="93"/>
      <c r="L35" s="93"/>
    </row>
    <row r="36" spans="1:12" x14ac:dyDescent="0.35">
      <c r="A36" s="93"/>
      <c r="E36" s="93"/>
      <c r="F36" s="93"/>
      <c r="G36" s="93"/>
      <c r="H36" s="93"/>
      <c r="I36" s="93"/>
      <c r="J36" s="93"/>
      <c r="K36" s="93"/>
      <c r="L36" s="93"/>
    </row>
    <row r="37" spans="1:12" x14ac:dyDescent="0.35">
      <c r="A37" s="93"/>
      <c r="E37" s="93"/>
      <c r="F37" s="93"/>
      <c r="G37" s="93"/>
      <c r="H37" s="93"/>
      <c r="I37" s="93"/>
      <c r="J37" s="93"/>
      <c r="K37" s="93"/>
      <c r="L37" s="93"/>
    </row>
    <row r="38" spans="1:12" x14ac:dyDescent="0.35">
      <c r="A38" s="93"/>
      <c r="E38" s="93"/>
      <c r="F38" s="93"/>
      <c r="G38" s="93"/>
      <c r="H38" s="93"/>
      <c r="I38" s="93"/>
      <c r="J38" s="93"/>
      <c r="K38" s="93"/>
      <c r="L38" s="93"/>
    </row>
    <row r="39" spans="1:12" x14ac:dyDescent="0.35">
      <c r="A39" s="93"/>
      <c r="B39" s="93"/>
      <c r="C39" s="93"/>
      <c r="D39" s="93"/>
      <c r="E39" s="93"/>
      <c r="F39" s="93"/>
      <c r="G39" s="93"/>
      <c r="H39" s="93"/>
      <c r="I39" s="93"/>
      <c r="J39" s="93"/>
      <c r="K39" s="93"/>
      <c r="L39" s="93"/>
    </row>
    <row r="40" spans="1:12" x14ac:dyDescent="0.35">
      <c r="A40" s="93"/>
      <c r="B40" s="93"/>
      <c r="C40" s="93"/>
      <c r="D40" s="93"/>
      <c r="E40" s="93"/>
      <c r="F40" s="93"/>
      <c r="G40" s="93"/>
      <c r="H40" s="93"/>
      <c r="I40" s="93"/>
      <c r="J40" s="93"/>
      <c r="K40" s="93"/>
      <c r="L40" s="93"/>
    </row>
    <row r="41" spans="1:12" x14ac:dyDescent="0.35">
      <c r="A41" s="93"/>
      <c r="B41" s="93"/>
      <c r="C41" s="93"/>
      <c r="D41" s="93"/>
      <c r="E41" s="93"/>
      <c r="F41" s="93"/>
      <c r="G41" s="93"/>
      <c r="H41" s="93"/>
      <c r="I41" s="93"/>
      <c r="J41" s="93"/>
      <c r="K41" s="93"/>
      <c r="L41" s="93"/>
    </row>
    <row r="42" spans="1:12" x14ac:dyDescent="0.35">
      <c r="A42" s="93"/>
      <c r="B42" s="93"/>
      <c r="C42" s="93"/>
      <c r="D42" s="93"/>
      <c r="E42" s="93"/>
      <c r="F42" s="93"/>
      <c r="G42" s="93"/>
      <c r="H42" s="93"/>
      <c r="I42" s="93"/>
      <c r="J42" s="93"/>
      <c r="K42" s="93"/>
      <c r="L42" s="93"/>
    </row>
    <row r="43" spans="1:12" x14ac:dyDescent="0.35">
      <c r="A43" s="93"/>
      <c r="B43" s="93"/>
      <c r="C43" s="93"/>
      <c r="D43" s="93"/>
      <c r="E43" s="93"/>
      <c r="F43" s="93"/>
      <c r="G43" s="93"/>
      <c r="H43" s="93"/>
      <c r="I43" s="93"/>
      <c r="J43" s="93"/>
      <c r="K43" s="93"/>
      <c r="L43" s="93"/>
    </row>
    <row r="44" spans="1:12" x14ac:dyDescent="0.35">
      <c r="A44" s="93"/>
      <c r="B44" s="93"/>
      <c r="C44" s="93"/>
      <c r="D44" s="93"/>
      <c r="E44" s="93"/>
      <c r="F44" s="93"/>
      <c r="G44" s="93"/>
      <c r="H44" s="93"/>
      <c r="I44" s="93"/>
      <c r="J44" s="93"/>
      <c r="K44" s="93"/>
      <c r="L44" s="93"/>
    </row>
    <row r="45" spans="1:12" x14ac:dyDescent="0.35">
      <c r="A45" s="93"/>
      <c r="B45" s="93"/>
      <c r="C45" s="93"/>
      <c r="D45" s="93"/>
      <c r="E45" s="93"/>
      <c r="F45" s="93"/>
      <c r="G45" s="93"/>
      <c r="H45" s="93"/>
      <c r="I45" s="93"/>
      <c r="J45" s="93"/>
      <c r="K45" s="93"/>
      <c r="L45" s="93"/>
    </row>
    <row r="46" spans="1:12" x14ac:dyDescent="0.35">
      <c r="A46" s="93"/>
      <c r="B46" s="93"/>
      <c r="C46" s="93"/>
      <c r="D46" s="93"/>
      <c r="E46" s="93"/>
      <c r="F46" s="93"/>
      <c r="G46" s="93"/>
      <c r="H46" s="93"/>
      <c r="I46" s="93"/>
      <c r="J46" s="93"/>
      <c r="K46" s="93"/>
      <c r="L46" s="93"/>
    </row>
    <row r="47" spans="1:12" x14ac:dyDescent="0.35">
      <c r="A47" s="93"/>
      <c r="B47" s="93"/>
      <c r="C47" s="93"/>
      <c r="D47" s="93"/>
      <c r="E47" s="93"/>
      <c r="F47" s="93"/>
      <c r="G47" s="93"/>
      <c r="H47" s="93"/>
      <c r="I47" s="93"/>
      <c r="J47" s="93"/>
      <c r="K47" s="93"/>
      <c r="L47" s="93"/>
    </row>
    <row r="48" spans="1:12" x14ac:dyDescent="0.35">
      <c r="A48" s="93"/>
      <c r="B48" s="93"/>
      <c r="C48" s="93"/>
      <c r="D48" s="93"/>
      <c r="E48" s="93"/>
      <c r="F48" s="93"/>
      <c r="G48" s="93"/>
      <c r="H48" s="93"/>
      <c r="I48" s="93"/>
      <c r="J48" s="93"/>
      <c r="K48" s="93"/>
      <c r="L48" s="93"/>
    </row>
    <row r="49" spans="1:12" x14ac:dyDescent="0.35">
      <c r="A49" s="93"/>
      <c r="B49" s="93"/>
      <c r="C49" s="93"/>
      <c r="D49" s="93"/>
      <c r="E49" s="93"/>
      <c r="F49" s="93"/>
      <c r="G49" s="93"/>
      <c r="H49" s="93"/>
      <c r="I49" s="93"/>
      <c r="J49" s="93"/>
      <c r="K49" s="93"/>
      <c r="L49" s="93"/>
    </row>
    <row r="50" spans="1:12" x14ac:dyDescent="0.35">
      <c r="A50" s="93"/>
      <c r="B50" s="93"/>
      <c r="C50" s="93"/>
      <c r="D50" s="93"/>
      <c r="E50" s="93"/>
      <c r="F50" s="93"/>
      <c r="G50" s="93"/>
      <c r="H50" s="93"/>
      <c r="I50" s="93"/>
      <c r="J50" s="93"/>
      <c r="K50" s="93"/>
      <c r="L50" s="93"/>
    </row>
    <row r="51" spans="1:12" x14ac:dyDescent="0.35">
      <c r="A51" s="93"/>
      <c r="B51" s="93"/>
      <c r="C51" s="93"/>
      <c r="D51" s="93"/>
      <c r="E51" s="93"/>
      <c r="F51" s="93"/>
      <c r="G51" s="93"/>
      <c r="H51" s="93"/>
      <c r="I51" s="93"/>
      <c r="J51" s="93"/>
      <c r="K51" s="93"/>
      <c r="L51" s="93"/>
    </row>
    <row r="52" spans="1:12" x14ac:dyDescent="0.35">
      <c r="A52" s="93"/>
      <c r="B52" s="93"/>
      <c r="C52" s="93"/>
      <c r="D52" s="93"/>
      <c r="E52" s="93"/>
      <c r="F52" s="93"/>
      <c r="G52" s="93"/>
      <c r="H52" s="93"/>
      <c r="I52" s="93"/>
      <c r="J52" s="93"/>
      <c r="K52" s="93"/>
      <c r="L52" s="93"/>
    </row>
    <row r="53" spans="1:12" x14ac:dyDescent="0.35">
      <c r="A53" s="93"/>
      <c r="B53" s="93"/>
      <c r="C53" s="93"/>
      <c r="D53" s="93"/>
      <c r="E53" s="93"/>
      <c r="F53" s="93"/>
      <c r="G53" s="93"/>
      <c r="H53" s="93"/>
      <c r="I53" s="93"/>
      <c r="J53" s="93"/>
      <c r="K53" s="93"/>
      <c r="L53" s="93"/>
    </row>
    <row r="54" spans="1:12" x14ac:dyDescent="0.35">
      <c r="A54" s="93"/>
      <c r="B54" s="93"/>
      <c r="C54" s="93"/>
      <c r="D54" s="93"/>
      <c r="E54" s="93"/>
      <c r="F54" s="93"/>
      <c r="G54" s="93"/>
      <c r="H54" s="93"/>
      <c r="I54" s="93"/>
      <c r="J54" s="93"/>
      <c r="K54" s="93"/>
      <c r="L54" s="93"/>
    </row>
    <row r="55" spans="1:12" x14ac:dyDescent="0.35">
      <c r="A55" s="93"/>
      <c r="B55" s="93"/>
      <c r="C55" s="93"/>
      <c r="D55" s="93"/>
      <c r="E55" s="93"/>
      <c r="F55" s="93"/>
      <c r="G55" s="93"/>
      <c r="H55" s="93"/>
      <c r="I55" s="93"/>
      <c r="J55" s="93"/>
      <c r="K55" s="93"/>
      <c r="L55" s="93"/>
    </row>
    <row r="56" spans="1:12" x14ac:dyDescent="0.35">
      <c r="A56" s="93"/>
      <c r="B56" s="93"/>
      <c r="C56" s="93"/>
      <c r="D56" s="93"/>
      <c r="E56" s="93"/>
      <c r="F56" s="93"/>
      <c r="G56" s="93"/>
      <c r="H56" s="93"/>
      <c r="I56" s="93"/>
      <c r="J56" s="93"/>
      <c r="K56" s="93"/>
      <c r="L56" s="93"/>
    </row>
    <row r="57" spans="1:12" x14ac:dyDescent="0.35">
      <c r="A57" s="93"/>
      <c r="B57" s="93"/>
      <c r="C57" s="93"/>
      <c r="D57" s="93"/>
      <c r="E57" s="93"/>
      <c r="F57" s="93"/>
      <c r="G57" s="93"/>
      <c r="H57" s="93"/>
      <c r="I57" s="93"/>
      <c r="J57" s="93"/>
      <c r="K57" s="93"/>
      <c r="L57" s="93"/>
    </row>
    <row r="58" spans="1:12" x14ac:dyDescent="0.35">
      <c r="A58" s="93"/>
      <c r="B58" s="93"/>
      <c r="C58" s="93"/>
      <c r="D58" s="93"/>
      <c r="E58" s="93"/>
      <c r="F58" s="93"/>
      <c r="G58" s="93"/>
      <c r="H58" s="93"/>
      <c r="I58" s="93"/>
      <c r="J58" s="93"/>
      <c r="K58" s="93"/>
      <c r="L58" s="93"/>
    </row>
    <row r="59" spans="1:12" x14ac:dyDescent="0.35">
      <c r="A59" s="93"/>
      <c r="B59" s="93"/>
      <c r="C59" s="93"/>
      <c r="D59" s="93"/>
      <c r="E59" s="93"/>
      <c r="F59" s="93"/>
      <c r="G59" s="93"/>
      <c r="H59" s="93"/>
      <c r="I59" s="93"/>
      <c r="J59" s="93"/>
      <c r="K59" s="93"/>
      <c r="L59" s="93"/>
    </row>
    <row r="60" spans="1:12" x14ac:dyDescent="0.35">
      <c r="A60" s="93"/>
      <c r="B60" s="93"/>
      <c r="C60" s="93"/>
      <c r="D60" s="93"/>
      <c r="E60" s="93"/>
      <c r="F60" s="93"/>
      <c r="G60" s="93"/>
      <c r="H60" s="93"/>
      <c r="I60" s="93"/>
      <c r="J60" s="93"/>
      <c r="K60" s="93"/>
      <c r="L60" s="93"/>
    </row>
    <row r="61" spans="1:12" x14ac:dyDescent="0.35">
      <c r="A61" s="93"/>
      <c r="B61" s="93"/>
      <c r="C61" s="93"/>
      <c r="D61" s="93"/>
      <c r="E61" s="93"/>
      <c r="F61" s="93"/>
      <c r="G61" s="93"/>
      <c r="H61" s="93"/>
      <c r="I61" s="93"/>
      <c r="J61" s="93"/>
      <c r="K61" s="93"/>
      <c r="L61" s="93"/>
    </row>
    <row r="62" spans="1:12" x14ac:dyDescent="0.35">
      <c r="A62" s="93"/>
      <c r="B62" s="93"/>
      <c r="C62" s="93"/>
      <c r="D62" s="93"/>
      <c r="E62" s="93"/>
      <c r="F62" s="93"/>
      <c r="G62" s="93"/>
      <c r="H62" s="93"/>
      <c r="I62" s="93"/>
      <c r="J62" s="93"/>
      <c r="K62" s="93"/>
      <c r="L62" s="93"/>
    </row>
    <row r="63" spans="1:12" x14ac:dyDescent="0.35">
      <c r="A63" s="93"/>
      <c r="B63" s="93"/>
      <c r="C63" s="93"/>
      <c r="D63" s="93"/>
      <c r="E63" s="93"/>
      <c r="F63" s="93"/>
      <c r="G63" s="93"/>
      <c r="H63" s="93"/>
      <c r="I63" s="93"/>
      <c r="J63" s="93"/>
      <c r="K63" s="93"/>
      <c r="L63" s="93"/>
    </row>
    <row r="64" spans="1:12" x14ac:dyDescent="0.35">
      <c r="A64" s="93"/>
      <c r="B64" s="93"/>
      <c r="C64" s="93"/>
      <c r="D64" s="93"/>
      <c r="E64" s="93"/>
      <c r="F64" s="93"/>
      <c r="G64" s="93"/>
      <c r="H64" s="93"/>
      <c r="I64" s="93"/>
      <c r="J64" s="93"/>
      <c r="K64" s="93"/>
      <c r="L64" s="93"/>
    </row>
    <row r="65" spans="1:12" x14ac:dyDescent="0.35">
      <c r="A65" s="93"/>
      <c r="B65" s="93"/>
      <c r="C65" s="93"/>
      <c r="D65" s="93"/>
      <c r="E65" s="93"/>
      <c r="F65" s="93"/>
      <c r="G65" s="93"/>
      <c r="H65" s="93"/>
      <c r="I65" s="93"/>
      <c r="J65" s="93"/>
      <c r="K65" s="93"/>
      <c r="L65" s="93"/>
    </row>
    <row r="66" spans="1:12" x14ac:dyDescent="0.35">
      <c r="A66" s="93"/>
      <c r="B66" s="93"/>
      <c r="C66" s="93"/>
      <c r="D66" s="93"/>
      <c r="E66" s="93"/>
      <c r="F66" s="93"/>
      <c r="G66" s="93"/>
      <c r="H66" s="93"/>
      <c r="I66" s="93"/>
      <c r="J66" s="93"/>
      <c r="K66" s="93"/>
      <c r="L66" s="93"/>
    </row>
    <row r="67" spans="1:12" x14ac:dyDescent="0.35">
      <c r="A67" s="93"/>
      <c r="B67" s="93"/>
      <c r="C67" s="93"/>
      <c r="D67" s="93"/>
      <c r="E67" s="93"/>
      <c r="F67" s="93"/>
      <c r="G67" s="93"/>
      <c r="H67" s="93"/>
      <c r="I67" s="93"/>
      <c r="J67" s="93"/>
      <c r="K67" s="93"/>
      <c r="L67" s="93"/>
    </row>
    <row r="68" spans="1:12" x14ac:dyDescent="0.35">
      <c r="A68" s="93"/>
      <c r="B68" s="93"/>
      <c r="C68" s="93"/>
      <c r="D68" s="93"/>
      <c r="E68" s="93"/>
      <c r="F68" s="93"/>
      <c r="G68" s="93"/>
      <c r="H68" s="93"/>
      <c r="I68" s="93"/>
      <c r="J68" s="93"/>
      <c r="K68" s="93"/>
      <c r="L68" s="93"/>
    </row>
    <row r="69" spans="1:12" x14ac:dyDescent="0.35">
      <c r="A69" s="93"/>
      <c r="B69" s="93"/>
      <c r="C69" s="93"/>
      <c r="D69" s="93"/>
      <c r="E69" s="93"/>
      <c r="F69" s="93"/>
      <c r="G69" s="93"/>
      <c r="H69" s="93"/>
      <c r="I69" s="93"/>
      <c r="J69" s="93"/>
      <c r="K69" s="93"/>
      <c r="L69" s="93"/>
    </row>
    <row r="70" spans="1:12" x14ac:dyDescent="0.35">
      <c r="A70" s="93"/>
      <c r="B70" s="93"/>
      <c r="C70" s="93"/>
      <c r="D70" s="93"/>
      <c r="E70" s="93"/>
      <c r="F70" s="93"/>
      <c r="G70" s="93"/>
      <c r="H70" s="93"/>
      <c r="I70" s="93"/>
      <c r="J70" s="93"/>
      <c r="K70" s="93"/>
      <c r="L70" s="93"/>
    </row>
    <row r="71" spans="1:12" x14ac:dyDescent="0.35">
      <c r="A71" s="93"/>
      <c r="B71" s="93"/>
      <c r="C71" s="93"/>
      <c r="D71" s="93"/>
      <c r="E71" s="93"/>
      <c r="F71" s="93"/>
      <c r="G71" s="93"/>
      <c r="H71" s="93"/>
      <c r="I71" s="93"/>
      <c r="J71" s="93"/>
      <c r="K71" s="93"/>
      <c r="L71" s="93"/>
    </row>
    <row r="72" spans="1:12" x14ac:dyDescent="0.35">
      <c r="A72" s="93"/>
      <c r="B72" s="93"/>
      <c r="C72" s="93"/>
      <c r="D72" s="93"/>
      <c r="E72" s="93"/>
      <c r="F72" s="93"/>
      <c r="G72" s="93"/>
      <c r="H72" s="93"/>
      <c r="I72" s="93"/>
      <c r="J72" s="93"/>
      <c r="K72" s="93"/>
      <c r="L72" s="93"/>
    </row>
    <row r="73" spans="1:12" x14ac:dyDescent="0.35">
      <c r="A73" s="93"/>
      <c r="B73" s="93"/>
      <c r="C73" s="93"/>
      <c r="D73" s="93"/>
      <c r="E73" s="93"/>
      <c r="F73" s="93"/>
      <c r="G73" s="93"/>
      <c r="H73" s="93"/>
      <c r="I73" s="93"/>
      <c r="J73" s="93"/>
      <c r="K73" s="93"/>
      <c r="L73" s="93"/>
    </row>
    <row r="74" spans="1:12" x14ac:dyDescent="0.35">
      <c r="A74" s="93"/>
      <c r="B74" s="93"/>
      <c r="C74" s="93"/>
      <c r="D74" s="93"/>
      <c r="E74" s="93"/>
      <c r="F74" s="93"/>
      <c r="G74" s="93"/>
      <c r="H74" s="93"/>
      <c r="I74" s="93"/>
      <c r="J74" s="93"/>
      <c r="K74" s="93"/>
      <c r="L74" s="93"/>
    </row>
    <row r="75" spans="1:12" x14ac:dyDescent="0.35">
      <c r="A75" s="93"/>
      <c r="B75" s="93"/>
      <c r="C75" s="93"/>
      <c r="D75" s="93"/>
      <c r="E75" s="93"/>
      <c r="F75" s="93"/>
      <c r="G75" s="93"/>
      <c r="H75" s="93"/>
      <c r="I75" s="93"/>
      <c r="J75" s="93"/>
      <c r="K75" s="93"/>
      <c r="L75" s="93"/>
    </row>
    <row r="76" spans="1:12" x14ac:dyDescent="0.35">
      <c r="A76" s="93"/>
      <c r="B76" s="93"/>
      <c r="C76" s="93"/>
      <c r="D76" s="93"/>
      <c r="E76" s="93"/>
      <c r="F76" s="93"/>
      <c r="G76" s="93"/>
      <c r="H76" s="93"/>
      <c r="I76" s="93"/>
      <c r="J76" s="93"/>
      <c r="K76" s="93"/>
      <c r="L76" s="93"/>
    </row>
    <row r="77" spans="1:12" x14ac:dyDescent="0.35">
      <c r="A77" s="93"/>
      <c r="B77" s="93"/>
      <c r="C77" s="93"/>
      <c r="D77" s="93"/>
      <c r="E77" s="93"/>
      <c r="F77" s="93"/>
      <c r="G77" s="93"/>
      <c r="H77" s="93"/>
      <c r="I77" s="93"/>
      <c r="J77" s="93"/>
      <c r="K77" s="93"/>
      <c r="L77" s="93"/>
    </row>
    <row r="78" spans="1:12" x14ac:dyDescent="0.35">
      <c r="A78" s="93"/>
      <c r="B78" s="93"/>
      <c r="C78" s="93"/>
      <c r="D78" s="93"/>
      <c r="E78" s="93"/>
      <c r="F78" s="93"/>
      <c r="G78" s="93"/>
      <c r="H78" s="93"/>
      <c r="I78" s="93"/>
      <c r="J78" s="93"/>
      <c r="K78" s="93"/>
      <c r="L78" s="93"/>
    </row>
    <row r="79" spans="1:12" x14ac:dyDescent="0.35">
      <c r="A79" s="93"/>
      <c r="B79" s="93"/>
      <c r="C79" s="93"/>
      <c r="D79" s="93"/>
      <c r="E79" s="93"/>
      <c r="F79" s="93"/>
      <c r="G79" s="93"/>
      <c r="H79" s="93"/>
      <c r="I79" s="93"/>
      <c r="J79" s="93"/>
      <c r="K79" s="93"/>
      <c r="L79" s="93"/>
    </row>
    <row r="80" spans="1:12" x14ac:dyDescent="0.35">
      <c r="A80" s="93"/>
      <c r="B80" s="93"/>
      <c r="C80" s="93"/>
      <c r="D80" s="93"/>
      <c r="E80" s="93"/>
      <c r="F80" s="93"/>
      <c r="G80" s="93"/>
      <c r="H80" s="93"/>
      <c r="I80" s="93"/>
      <c r="J80" s="93"/>
      <c r="K80" s="93"/>
      <c r="L80" s="93"/>
    </row>
    <row r="81" spans="1:12" x14ac:dyDescent="0.35">
      <c r="A81" s="93"/>
      <c r="B81" s="93"/>
      <c r="C81" s="93"/>
      <c r="D81" s="93"/>
      <c r="E81" s="93"/>
      <c r="F81" s="93"/>
      <c r="G81" s="93"/>
      <c r="H81" s="93"/>
      <c r="I81" s="93"/>
      <c r="J81" s="93"/>
      <c r="K81" s="93"/>
      <c r="L81" s="93"/>
    </row>
    <row r="82" spans="1:12" x14ac:dyDescent="0.35">
      <c r="A82" s="93"/>
      <c r="B82" s="93"/>
      <c r="C82" s="93"/>
      <c r="D82" s="93"/>
      <c r="E82" s="93"/>
      <c r="F82" s="93"/>
      <c r="G82" s="93"/>
      <c r="H82" s="93"/>
      <c r="I82" s="93"/>
      <c r="J82" s="93"/>
      <c r="K82" s="93"/>
      <c r="L82" s="93"/>
    </row>
    <row r="83" spans="1:12" x14ac:dyDescent="0.35">
      <c r="A83" s="93"/>
      <c r="B83" s="93"/>
      <c r="C83" s="93"/>
      <c r="D83" s="93"/>
      <c r="E83" s="93"/>
      <c r="F83" s="93"/>
      <c r="G83" s="93"/>
      <c r="H83" s="93"/>
      <c r="I83" s="93"/>
      <c r="J83" s="93"/>
      <c r="K83" s="93"/>
      <c r="L83" s="9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AEDB-1586-4D2F-AA54-02CE4C830613}">
  <dimension ref="B2:V90"/>
  <sheetViews>
    <sheetView showGridLines="0" zoomScale="70" zoomScaleNormal="80" workbookViewId="0"/>
  </sheetViews>
  <sheetFormatPr defaultRowHeight="14.5" x14ac:dyDescent="0.35"/>
  <cols>
    <col min="1" max="1" width="4.08984375" customWidth="1"/>
    <col min="2" max="2" width="14.36328125" bestFit="1" customWidth="1"/>
    <col min="3" max="4" width="7.36328125" bestFit="1" customWidth="1"/>
    <col min="5" max="5" width="7.08984375" bestFit="1" customWidth="1"/>
    <col min="6" max="6" width="10.7265625" bestFit="1" customWidth="1"/>
    <col min="7" max="7" width="11.81640625" bestFit="1" customWidth="1"/>
    <col min="8" max="8" width="14.36328125" bestFit="1" customWidth="1"/>
    <col min="9" max="9" width="6.08984375" bestFit="1" customWidth="1"/>
    <col min="10" max="11" width="7.08984375" bestFit="1" customWidth="1"/>
    <col min="12" max="12" width="10.7265625" bestFit="1" customWidth="1"/>
    <col min="13" max="13" width="7.81640625" customWidth="1"/>
    <col min="14" max="14" width="11.81640625" bestFit="1" customWidth="1"/>
    <col min="15" max="16" width="7.36328125" bestFit="1" customWidth="1"/>
    <col min="17" max="17" width="6.08984375" bestFit="1" customWidth="1"/>
    <col min="18" max="18" width="10.7265625" bestFit="1" customWidth="1"/>
    <col min="19" max="19" width="10.81640625" bestFit="1" customWidth="1"/>
    <col min="20" max="20" width="11.26953125" bestFit="1" customWidth="1"/>
    <col min="21" max="21" width="10.7265625" bestFit="1" customWidth="1"/>
    <col min="22" max="22" width="14.54296875" bestFit="1" customWidth="1"/>
    <col min="23" max="24" width="11.81640625" bestFit="1" customWidth="1"/>
    <col min="25" max="25" width="10.81640625" bestFit="1" customWidth="1"/>
    <col min="26" max="27" width="5.453125" bestFit="1" customWidth="1"/>
    <col min="28" max="28" width="10.7265625" bestFit="1" customWidth="1"/>
  </cols>
  <sheetData>
    <row r="2" spans="2:22" ht="21" x14ac:dyDescent="0.5">
      <c r="B2" s="30" t="s">
        <v>240</v>
      </c>
    </row>
    <row r="3" spans="2:22" x14ac:dyDescent="0.35">
      <c r="B3" s="9" t="s">
        <v>223</v>
      </c>
      <c r="C3" s="9" t="s">
        <v>243</v>
      </c>
      <c r="G3" s="9" t="s">
        <v>247</v>
      </c>
      <c r="H3" s="9" t="s">
        <v>243</v>
      </c>
      <c r="L3" t="s">
        <v>269</v>
      </c>
      <c r="N3" s="62" t="s">
        <v>0</v>
      </c>
    </row>
    <row r="4" spans="2:22" x14ac:dyDescent="0.35">
      <c r="B4" s="9" t="s">
        <v>0</v>
      </c>
      <c r="C4" t="s">
        <v>3</v>
      </c>
      <c r="D4" t="s">
        <v>2</v>
      </c>
      <c r="E4" t="s">
        <v>21</v>
      </c>
      <c r="F4" t="s">
        <v>209</v>
      </c>
      <c r="G4" s="9" t="s">
        <v>0</v>
      </c>
      <c r="H4" t="s">
        <v>3</v>
      </c>
      <c r="I4" t="s">
        <v>2</v>
      </c>
      <c r="J4" t="s">
        <v>21</v>
      </c>
      <c r="K4" t="s">
        <v>209</v>
      </c>
      <c r="L4" s="11">
        <v>38052839.700000003</v>
      </c>
      <c r="N4" s="61">
        <v>2015</v>
      </c>
    </row>
    <row r="5" spans="2:22" x14ac:dyDescent="0.35">
      <c r="B5" s="10">
        <v>2015</v>
      </c>
      <c r="C5" s="11"/>
      <c r="D5" s="11">
        <v>9294846.0999999996</v>
      </c>
      <c r="E5" s="11"/>
      <c r="F5" s="11">
        <v>9294846.0999999996</v>
      </c>
      <c r="G5" s="10">
        <v>2015</v>
      </c>
      <c r="H5" s="11"/>
      <c r="I5" s="11">
        <v>3839</v>
      </c>
      <c r="J5" s="11"/>
      <c r="K5" s="11">
        <v>3839</v>
      </c>
      <c r="N5" s="61">
        <v>2016</v>
      </c>
      <c r="R5" s="9" t="s">
        <v>0</v>
      </c>
      <c r="S5" t="s">
        <v>226</v>
      </c>
      <c r="U5" s="9" t="s">
        <v>0</v>
      </c>
      <c r="V5" t="s">
        <v>223</v>
      </c>
    </row>
    <row r="6" spans="2:22" x14ac:dyDescent="0.35">
      <c r="B6" s="10">
        <v>2016</v>
      </c>
      <c r="C6" s="11">
        <v>983200.9</v>
      </c>
      <c r="D6" s="11">
        <v>12900603.1</v>
      </c>
      <c r="E6" s="11">
        <v>477777.3</v>
      </c>
      <c r="F6" s="11">
        <v>14361581.300000001</v>
      </c>
      <c r="G6" s="10">
        <v>2016</v>
      </c>
      <c r="H6" s="11">
        <v>47639</v>
      </c>
      <c r="I6" s="11">
        <v>8282</v>
      </c>
      <c r="J6" s="11">
        <v>13807</v>
      </c>
      <c r="K6" s="11">
        <v>69728</v>
      </c>
      <c r="L6" t="s">
        <v>247</v>
      </c>
      <c r="N6" s="61">
        <v>2017</v>
      </c>
      <c r="R6" s="10">
        <v>2015</v>
      </c>
      <c r="S6" s="11">
        <v>3578828.3</v>
      </c>
      <c r="U6" s="10">
        <v>2015</v>
      </c>
      <c r="V6" s="11">
        <v>9294846.0999999996</v>
      </c>
    </row>
    <row r="7" spans="2:22" x14ac:dyDescent="0.35">
      <c r="B7" s="10">
        <v>2017</v>
      </c>
      <c r="C7" s="11">
        <v>1251523.5</v>
      </c>
      <c r="D7" s="11">
        <v>12503373.800000001</v>
      </c>
      <c r="E7" s="11">
        <v>641515</v>
      </c>
      <c r="F7" s="11">
        <v>14396412.300000001</v>
      </c>
      <c r="G7" s="10">
        <v>2017</v>
      </c>
      <c r="H7" s="11">
        <v>61869</v>
      </c>
      <c r="I7" s="11">
        <v>8401</v>
      </c>
      <c r="J7" s="11">
        <v>18794</v>
      </c>
      <c r="K7" s="11">
        <v>89064</v>
      </c>
      <c r="L7" s="92">
        <v>162631</v>
      </c>
      <c r="M7" t="s">
        <v>249</v>
      </c>
      <c r="R7" s="10">
        <v>2016</v>
      </c>
      <c r="S7" s="11">
        <v>5936976.4000000004</v>
      </c>
      <c r="U7" s="10">
        <v>2016</v>
      </c>
      <c r="V7" s="11">
        <v>14361581.300000001</v>
      </c>
    </row>
    <row r="8" spans="2:22" x14ac:dyDescent="0.35">
      <c r="B8" s="10" t="s">
        <v>209</v>
      </c>
      <c r="C8" s="11">
        <v>2234724.4</v>
      </c>
      <c r="D8" s="11">
        <v>34698823</v>
      </c>
      <c r="E8" s="11">
        <v>1119292.3</v>
      </c>
      <c r="F8" s="11">
        <v>38052839.700000003</v>
      </c>
      <c r="G8" s="10" t="s">
        <v>209</v>
      </c>
      <c r="H8" s="11">
        <v>109508</v>
      </c>
      <c r="I8" s="11">
        <v>20522</v>
      </c>
      <c r="J8" s="11">
        <v>32601</v>
      </c>
      <c r="K8" s="87">
        <v>162631</v>
      </c>
      <c r="L8" s="87"/>
      <c r="M8" s="87"/>
      <c r="N8" t="s">
        <v>35</v>
      </c>
      <c r="R8" s="10">
        <v>2017</v>
      </c>
      <c r="S8" s="11">
        <v>5946555.4000000004</v>
      </c>
      <c r="U8" s="10">
        <v>2017</v>
      </c>
      <c r="V8" s="11">
        <v>14396412.300000001</v>
      </c>
    </row>
    <row r="9" spans="2:22" x14ac:dyDescent="0.35">
      <c r="L9" t="s">
        <v>216</v>
      </c>
      <c r="N9" t="s">
        <v>3</v>
      </c>
      <c r="R9" s="10" t="s">
        <v>209</v>
      </c>
      <c r="S9" s="11">
        <v>15462360.1</v>
      </c>
      <c r="U9" s="10" t="s">
        <v>209</v>
      </c>
      <c r="V9" s="11">
        <v>38052839.700000003</v>
      </c>
    </row>
    <row r="10" spans="2:22" x14ac:dyDescent="0.35">
      <c r="B10" s="9" t="s">
        <v>216</v>
      </c>
      <c r="C10" s="9" t="s">
        <v>243</v>
      </c>
      <c r="G10" s="9" t="s">
        <v>226</v>
      </c>
      <c r="H10" s="9" t="s">
        <v>243</v>
      </c>
      <c r="L10" s="11">
        <v>22590479.600000001</v>
      </c>
      <c r="N10" t="s">
        <v>2</v>
      </c>
    </row>
    <row r="11" spans="2:22" x14ac:dyDescent="0.35">
      <c r="B11" s="9" t="s">
        <v>0</v>
      </c>
      <c r="C11" t="s">
        <v>3</v>
      </c>
      <c r="D11" t="s">
        <v>2</v>
      </c>
      <c r="E11" t="s">
        <v>21</v>
      </c>
      <c r="F11" t="s">
        <v>209</v>
      </c>
      <c r="G11" s="9" t="s">
        <v>0</v>
      </c>
      <c r="H11" t="s">
        <v>3</v>
      </c>
      <c r="I11" t="s">
        <v>2</v>
      </c>
      <c r="J11" t="s">
        <v>21</v>
      </c>
      <c r="K11" t="s">
        <v>209</v>
      </c>
      <c r="N11" t="s">
        <v>21</v>
      </c>
      <c r="R11" s="9" t="s">
        <v>0</v>
      </c>
      <c r="S11" t="s">
        <v>216</v>
      </c>
      <c r="U11" s="9" t="s">
        <v>0</v>
      </c>
      <c r="V11" t="s">
        <v>247</v>
      </c>
    </row>
    <row r="12" spans="2:22" x14ac:dyDescent="0.35">
      <c r="B12" s="10">
        <v>2015</v>
      </c>
      <c r="C12" s="11"/>
      <c r="D12" s="11">
        <v>5716017.7999999998</v>
      </c>
      <c r="E12" s="11"/>
      <c r="F12" s="11">
        <v>5716017.7999999998</v>
      </c>
      <c r="G12" s="10">
        <v>2015</v>
      </c>
      <c r="H12" s="11"/>
      <c r="I12" s="11">
        <v>3578828.3</v>
      </c>
      <c r="J12" s="11"/>
      <c r="K12" s="11">
        <v>3578828.3</v>
      </c>
      <c r="L12" t="s">
        <v>268</v>
      </c>
      <c r="R12" s="10">
        <v>2015</v>
      </c>
      <c r="S12" s="11">
        <v>5716017.7999999998</v>
      </c>
      <c r="U12" s="10">
        <v>2015</v>
      </c>
      <c r="V12" s="92">
        <v>3839</v>
      </c>
    </row>
    <row r="13" spans="2:22" x14ac:dyDescent="0.35">
      <c r="B13" s="10">
        <v>2016</v>
      </c>
      <c r="C13" s="11">
        <v>368868.6</v>
      </c>
      <c r="D13" s="11">
        <v>7769787.2999999998</v>
      </c>
      <c r="E13" s="11">
        <v>285949</v>
      </c>
      <c r="F13" s="11">
        <v>8424604.9000000004</v>
      </c>
      <c r="G13" s="10">
        <v>2016</v>
      </c>
      <c r="H13" s="11">
        <v>614332.30000000005</v>
      </c>
      <c r="I13" s="11">
        <v>5130815.8</v>
      </c>
      <c r="J13" s="11">
        <v>191828.3</v>
      </c>
      <c r="K13" s="11">
        <v>5936976.4000000004</v>
      </c>
      <c r="L13" s="11">
        <v>15462360.1</v>
      </c>
      <c r="N13" s="9" t="s">
        <v>35</v>
      </c>
      <c r="R13" s="10">
        <v>2016</v>
      </c>
      <c r="S13" s="11">
        <v>8424604.9000000004</v>
      </c>
      <c r="U13" s="10">
        <v>2016</v>
      </c>
      <c r="V13" s="92">
        <v>69728</v>
      </c>
    </row>
    <row r="14" spans="2:22" x14ac:dyDescent="0.35">
      <c r="B14" s="10">
        <v>2017</v>
      </c>
      <c r="C14" s="11">
        <v>469638.3</v>
      </c>
      <c r="D14" s="11">
        <v>7597824.5</v>
      </c>
      <c r="E14" s="11">
        <v>382394.1</v>
      </c>
      <c r="F14" s="11">
        <v>8449856.9000000004</v>
      </c>
      <c r="G14" s="10">
        <v>2017</v>
      </c>
      <c r="H14" s="11">
        <v>781885.2</v>
      </c>
      <c r="I14" s="11">
        <v>4905549.3</v>
      </c>
      <c r="J14" s="11">
        <v>259120.9</v>
      </c>
      <c r="K14" s="11">
        <v>5946555.4000000004</v>
      </c>
      <c r="N14" s="10" t="s">
        <v>3</v>
      </c>
      <c r="R14" s="10">
        <v>2017</v>
      </c>
      <c r="S14" s="11">
        <v>8449856.9000000004</v>
      </c>
      <c r="U14" s="10">
        <v>2017</v>
      </c>
      <c r="V14" s="92">
        <v>89064</v>
      </c>
    </row>
    <row r="15" spans="2:22" x14ac:dyDescent="0.35">
      <c r="B15" s="10" t="s">
        <v>209</v>
      </c>
      <c r="C15" s="11">
        <v>838506.9</v>
      </c>
      <c r="D15" s="11">
        <v>21083629.600000001</v>
      </c>
      <c r="E15" s="11">
        <v>668343.1</v>
      </c>
      <c r="F15" s="11">
        <v>22590479.600000001</v>
      </c>
      <c r="G15" s="10" t="s">
        <v>209</v>
      </c>
      <c r="H15" s="11">
        <v>1396217.5</v>
      </c>
      <c r="I15" s="11">
        <v>13615193.4</v>
      </c>
      <c r="J15" s="11">
        <v>450949.2</v>
      </c>
      <c r="K15" s="11">
        <v>15462360.1</v>
      </c>
      <c r="N15" s="10" t="s">
        <v>2</v>
      </c>
      <c r="R15" s="10" t="s">
        <v>209</v>
      </c>
      <c r="S15" s="11">
        <v>22590479.600000001</v>
      </c>
      <c r="U15" s="10" t="s">
        <v>209</v>
      </c>
      <c r="V15" s="92">
        <v>162631</v>
      </c>
    </row>
    <row r="16" spans="2:22" x14ac:dyDescent="0.35">
      <c r="B16" s="10"/>
      <c r="C16" s="11"/>
      <c r="D16" s="11"/>
      <c r="E16" s="11"/>
      <c r="F16" s="11"/>
      <c r="H16" s="10"/>
      <c r="I16" s="11"/>
      <c r="J16" s="11"/>
      <c r="K16" s="11"/>
      <c r="L16" s="11"/>
      <c r="N16" s="10" t="s">
        <v>21</v>
      </c>
    </row>
    <row r="17" spans="2:18" x14ac:dyDescent="0.35">
      <c r="F17" s="11"/>
      <c r="N17" s="10" t="s">
        <v>209</v>
      </c>
    </row>
    <row r="18" spans="2:18" ht="21" x14ac:dyDescent="0.5">
      <c r="B18" s="30" t="s">
        <v>250</v>
      </c>
    </row>
    <row r="19" spans="2:18" x14ac:dyDescent="0.35">
      <c r="B19" s="3" t="s">
        <v>244</v>
      </c>
      <c r="C19" s="3" t="s">
        <v>217</v>
      </c>
      <c r="D19" s="3" t="s">
        <v>218</v>
      </c>
      <c r="E19" s="3" t="s">
        <v>219</v>
      </c>
      <c r="F19" s="3" t="s">
        <v>209</v>
      </c>
      <c r="G19" s="3" t="s">
        <v>220</v>
      </c>
      <c r="H19" s="3" t="s">
        <v>221</v>
      </c>
      <c r="I19" s="3" t="s">
        <v>248</v>
      </c>
    </row>
    <row r="20" spans="2:18" x14ac:dyDescent="0.35">
      <c r="B20" t="s">
        <v>137</v>
      </c>
      <c r="C20" s="92">
        <f>GETPIVOTDATA("[Measures].[Sum of NetOrders]",$G$3,"[Model_wise_Sales].[Year]","[Model_wise_Sales].[Year].&amp;[2015]")</f>
        <v>3839</v>
      </c>
      <c r="D20" s="92">
        <f>GETPIVOTDATA("[Measures].[Sum of NetOrders]",$G$3,"[Model_wise_Sales].[Year]","[Model_wise_Sales].[Year].&amp;[2016]")</f>
        <v>69728</v>
      </c>
      <c r="E20" s="92">
        <f>GETPIVOTDATA("[Measures].[Sum of NetOrders]",$G$3,"[Model_wise_Sales].[Year]","[Model_wise_Sales].[Year].&amp;[2017]")</f>
        <v>89064</v>
      </c>
      <c r="F20" s="92">
        <f>GETPIVOTDATA("[Measures].[Sum of NetOrders]",$L$6)</f>
        <v>162631</v>
      </c>
      <c r="G20" t="str" cm="1">
        <f t="array" ref="G20">IF((D20-C20)/C20&gt;0,ROUND(100*(D20-C20)/C20,1) &amp;"% " &amp;"▲",ROUND(100*(D20-G19C19)/C20,1) &amp;"% " &amp;"▼")&amp;"VS LY"</f>
        <v>1716.3% ▲VS LY</v>
      </c>
      <c r="H20" t="str">
        <f>IF((E20-D20)/D20&gt;0,ROUND(100*(E20-D20)/D20,1) &amp;"% " &amp;"▲",ROUND(100*(E20-D20)/D20,1) &amp;"% " &amp;"▼")&amp;"VS LY"</f>
        <v>27.7% ▲VS LY</v>
      </c>
      <c r="I20" s="87" cm="1">
        <f t="array" ref="I20">_xlfn.IFS(I36=2015,C20,I36=2016,D20,I36=2017,E20)</f>
        <v>3839</v>
      </c>
      <c r="J20" s="87"/>
      <c r="K20" s="87"/>
    </row>
    <row r="21" spans="2:18" x14ac:dyDescent="0.35">
      <c r="B21" t="s">
        <v>207</v>
      </c>
      <c r="C21" s="11">
        <f>GETPIVOTDATA("[Measures].[Sum of NetRevenue]",$B$3,"[Model_wise_Sales].[Year]","[Model_wise_Sales].[Year].&amp;[2015]")</f>
        <v>9294846.0999999996</v>
      </c>
      <c r="D21" s="11">
        <f>GETPIVOTDATA("[Measures].[Sum of NetRevenue]",$B$3,"[Model_wise_Sales].[Year]","[Model_wise_Sales].[Year].&amp;[2016]")</f>
        <v>14361581.300000001</v>
      </c>
      <c r="E21" s="11">
        <f>GETPIVOTDATA("[Measures].[Sum of NetRevenue]",$B$3,"[Model_wise_Sales].[Year]","[Model_wise_Sales].[Year].&amp;[2017]")</f>
        <v>14396412.300000001</v>
      </c>
      <c r="F21" s="11">
        <f>GETPIVOTDATA("[Measures].[Sum of NetRevenue]",$L$3)</f>
        <v>38052839.700000003</v>
      </c>
      <c r="G21" t="str" cm="1">
        <f t="array" ref="G21">IF((D21-C21)/C21&gt;0,ROUND(100*(D21-C21)/C21,1) &amp;"% " &amp;"▲",ROUND(100*(D21-G19C19)/C21,1) &amp;"% " &amp;"▼")&amp;"VS LY"</f>
        <v>54.5% ▲VS LY</v>
      </c>
      <c r="H21" t="str">
        <f>IF((E21-D21)/D21&gt;0,ROUND(100*(E21-D21)/D21,1) &amp;"% " &amp;"▲",ROUND(100*(E21-D21)/D21,1) &amp;"% " &amp;"▼")&amp;"VS LY"</f>
        <v>0.2% ▲VS LY</v>
      </c>
      <c r="I21" s="11" cm="1">
        <f t="array" ref="I21">_xlfn.IFS(I28=2015,C21,I28=2016,D21,I28=2017,E21)</f>
        <v>9294846.0999999996</v>
      </c>
    </row>
    <row r="22" spans="2:18" x14ac:dyDescent="0.35">
      <c r="B22" t="s">
        <v>131</v>
      </c>
      <c r="C22" s="11">
        <f>GETPIVOTDATA("[Measures].[Sum of Cost]",$B$10,"[Model_wise_Sales].[Year]","[Model_wise_Sales].[Year].&amp;[2015]")</f>
        <v>5716017.7999999998</v>
      </c>
      <c r="D22" s="11">
        <f>GETPIVOTDATA("[Measures].[Sum of Cost]",$B$10,"[Model_wise_Sales].[Year]","[Model_wise_Sales].[Year].&amp;[2016]")</f>
        <v>8424604.9000000004</v>
      </c>
      <c r="E22" s="11">
        <f>GETPIVOTDATA("[Measures].[Sum of Cost]",$B$10,"[Model_wise_Sales].[Year]","[Model_wise_Sales].[Year].&amp;[2017]")</f>
        <v>8449856.9000000004</v>
      </c>
      <c r="F22" s="11">
        <f>GETPIVOTDATA("[Measures].[Sum of Cost]",$L$9)</f>
        <v>22590479.600000001</v>
      </c>
      <c r="G22" t="str" cm="1">
        <f t="array" ref="G22">IF((D22-C22)/C22&gt;0,ROUND(100*(D22-C22)/C22,1) &amp;"% " &amp;"▲",ROUND(100*(D22-G19C19)/C22,1) &amp;"% " &amp;"▼")&amp;"VS LY"</f>
        <v>47.4% ▲VS LY</v>
      </c>
      <c r="H22" t="str">
        <f>IF((E22-D22)/D22&gt;0,ROUND(100*(E22-D22)/D22,1) &amp;"% " &amp;"▲",ROUND(100*(E22-D22)/D22,1) &amp;"% " &amp;"▼")&amp;"VS LY"</f>
        <v>0.3% ▲VS LY</v>
      </c>
      <c r="I22" s="11" cm="1">
        <f t="array" ref="I22">_xlfn.IFS(O36=2015,C22,O36=2016,D22,O36=2017,E22)</f>
        <v>5716017.7999999998</v>
      </c>
    </row>
    <row r="23" spans="2:18" x14ac:dyDescent="0.35">
      <c r="B23" t="s">
        <v>208</v>
      </c>
      <c r="C23" s="11">
        <f>GETPIVOTDATA("[Measures].[Sum of NetProfit]",$G$10,"[Model_wise_Sales].[Year]","[Model_wise_Sales].[Year].&amp;[2015]")</f>
        <v>3578828.3</v>
      </c>
      <c r="D23" s="11">
        <f>GETPIVOTDATA("[Measures].[Sum of NetProfit]",$G$10,"[Model_wise_Sales].[Year]","[Model_wise_Sales].[Year].&amp;[2016]")</f>
        <v>5936976.4000000004</v>
      </c>
      <c r="E23" s="11">
        <f>GETPIVOTDATA("[Measures].[Sum of NetProfit]",$G$10,"[Model_wise_Sales].[Year]","[Model_wise_Sales].[Year].&amp;[2017]")</f>
        <v>5946555.4000000004</v>
      </c>
      <c r="F23" s="11">
        <f>GETPIVOTDATA("[Measures].[Sum of NetProfit]",$L$12)</f>
        <v>15462360.1</v>
      </c>
      <c r="G23" t="str" cm="1">
        <f t="array" ref="G23">IF((D23-C23)/C23&gt;0,ROUND(100*(D23-C23)/C23,1) &amp;"% " &amp;"▲",ROUND(100*(D23-G19C19)/C23,1) &amp;"% " &amp;"▼")&amp;"VS LY"</f>
        <v>65.9% ▲VS LY</v>
      </c>
      <c r="H23" t="str">
        <f>IF((E23-D23)/D23&gt;0,ROUND(100*(E23-D23)/D23,1) &amp;"% " &amp;"▲",ROUND(100*(E23-D23)/D23,1) &amp;"% " &amp;"▼")&amp;"VS LY"</f>
        <v>0.2% ▲VS LY</v>
      </c>
      <c r="I23" s="11" cm="1">
        <f t="array" ref="I23">_xlfn.IFS(O28=2015,C23,O28=2016,D23,O28=2017,E23)</f>
        <v>3578828.3</v>
      </c>
    </row>
    <row r="24" spans="2:18" x14ac:dyDescent="0.35">
      <c r="C24" s="11"/>
      <c r="D24" s="11"/>
      <c r="E24" s="11"/>
    </row>
    <row r="26" spans="2:18" ht="21" x14ac:dyDescent="0.5">
      <c r="B26" s="30" t="s">
        <v>222</v>
      </c>
    </row>
    <row r="27" spans="2:18" x14ac:dyDescent="0.35">
      <c r="B27" s="9" t="s">
        <v>223</v>
      </c>
      <c r="C27" s="9" t="s">
        <v>243</v>
      </c>
      <c r="H27" s="9" t="s">
        <v>223</v>
      </c>
      <c r="I27" s="9" t="s">
        <v>243</v>
      </c>
      <c r="N27" s="9" t="s">
        <v>226</v>
      </c>
      <c r="O27" s="9" t="s">
        <v>243</v>
      </c>
    </row>
    <row r="28" spans="2:18" x14ac:dyDescent="0.35">
      <c r="B28" s="9" t="s">
        <v>45</v>
      </c>
      <c r="C28">
        <v>2015</v>
      </c>
      <c r="D28">
        <v>2016</v>
      </c>
      <c r="E28">
        <v>2017</v>
      </c>
      <c r="F28" t="s">
        <v>209</v>
      </c>
      <c r="H28" s="9" t="s">
        <v>47</v>
      </c>
      <c r="I28">
        <v>2015</v>
      </c>
      <c r="J28">
        <v>2016</v>
      </c>
      <c r="K28">
        <v>2017</v>
      </c>
      <c r="L28" t="s">
        <v>209</v>
      </c>
      <c r="N28" s="9" t="s">
        <v>47</v>
      </c>
      <c r="O28">
        <v>2015</v>
      </c>
      <c r="P28">
        <v>2016</v>
      </c>
      <c r="Q28">
        <v>2017</v>
      </c>
      <c r="R28" t="s">
        <v>209</v>
      </c>
    </row>
    <row r="29" spans="2:18" x14ac:dyDescent="0.35">
      <c r="B29" s="10" t="s">
        <v>255</v>
      </c>
      <c r="C29" s="11">
        <v>865190.98</v>
      </c>
      <c r="D29" s="11">
        <v>641910.42000000004</v>
      </c>
      <c r="E29" s="11">
        <v>2054707.75</v>
      </c>
      <c r="F29" s="11">
        <v>3561809.15</v>
      </c>
      <c r="H29" s="10">
        <v>1</v>
      </c>
      <c r="I29" s="11">
        <v>2594375.65</v>
      </c>
      <c r="J29" s="11">
        <v>2008291.69</v>
      </c>
      <c r="K29" s="11">
        <v>6412403.4900000002</v>
      </c>
      <c r="L29" s="11">
        <v>11015070.83</v>
      </c>
      <c r="N29" s="10">
        <v>1</v>
      </c>
      <c r="O29" s="11">
        <v>988238.69</v>
      </c>
      <c r="P29" s="11">
        <v>815721.58</v>
      </c>
      <c r="Q29" s="11">
        <v>2662023.7799999998</v>
      </c>
      <c r="R29" s="11">
        <v>4465984.05</v>
      </c>
    </row>
    <row r="30" spans="2:18" x14ac:dyDescent="0.35">
      <c r="B30" s="10" t="s">
        <v>256</v>
      </c>
      <c r="C30" s="11">
        <v>800424.93</v>
      </c>
      <c r="D30" s="11">
        <v>679676.68</v>
      </c>
      <c r="E30" s="11">
        <v>2085135.34</v>
      </c>
      <c r="F30" s="11">
        <v>3565236.95</v>
      </c>
      <c r="H30" s="10">
        <v>2</v>
      </c>
      <c r="I30" s="11">
        <v>2774111.39</v>
      </c>
      <c r="J30" s="11">
        <v>2295659.29</v>
      </c>
      <c r="K30" s="11">
        <v>7984009.0999999996</v>
      </c>
      <c r="L30" s="11">
        <v>13053779.779999999</v>
      </c>
      <c r="N30" s="10">
        <v>2</v>
      </c>
      <c r="O30" s="11">
        <v>1041334.8</v>
      </c>
      <c r="P30" s="11">
        <v>944469.89</v>
      </c>
      <c r="Q30" s="11">
        <v>3284531.73</v>
      </c>
      <c r="R30" s="11">
        <v>5270336.42</v>
      </c>
    </row>
    <row r="31" spans="2:18" x14ac:dyDescent="0.35">
      <c r="B31" s="10" t="s">
        <v>257</v>
      </c>
      <c r="C31" s="11">
        <v>928759.74</v>
      </c>
      <c r="D31" s="11">
        <v>686704.59</v>
      </c>
      <c r="E31" s="11">
        <v>2272560.4</v>
      </c>
      <c r="F31" s="11">
        <v>3888024.73</v>
      </c>
      <c r="H31" s="10">
        <v>3</v>
      </c>
      <c r="I31" s="11">
        <v>2036070.01</v>
      </c>
      <c r="J31" s="11">
        <v>4038308.37</v>
      </c>
      <c r="K31" s="11"/>
      <c r="L31" s="11">
        <v>6074378.3799999999</v>
      </c>
      <c r="N31" s="10">
        <v>3</v>
      </c>
      <c r="O31" s="11">
        <v>805482.24</v>
      </c>
      <c r="P31" s="11">
        <v>1680036.2</v>
      </c>
      <c r="Q31" s="11"/>
      <c r="R31" s="11">
        <v>2485518.44</v>
      </c>
    </row>
    <row r="32" spans="2:18" x14ac:dyDescent="0.35">
      <c r="B32" s="10" t="s">
        <v>258</v>
      </c>
      <c r="C32" s="11">
        <v>872552.34</v>
      </c>
      <c r="D32" s="11">
        <v>722542.5</v>
      </c>
      <c r="E32" s="11">
        <v>2381792.15</v>
      </c>
      <c r="F32" s="11">
        <v>3976886.99</v>
      </c>
      <c r="H32" s="10">
        <v>4</v>
      </c>
      <c r="I32" s="11">
        <v>1890289.32</v>
      </c>
      <c r="J32" s="11">
        <v>6019322.3099999996</v>
      </c>
      <c r="K32" s="11"/>
      <c r="L32" s="11">
        <v>7909611.6299999999</v>
      </c>
      <c r="N32" s="10">
        <v>4</v>
      </c>
      <c r="O32" s="11">
        <v>743772.81</v>
      </c>
      <c r="P32" s="11">
        <v>2496749.15</v>
      </c>
      <c r="Q32" s="11"/>
      <c r="R32" s="11">
        <v>3240521.96</v>
      </c>
    </row>
    <row r="33" spans="2:19" x14ac:dyDescent="0.35">
      <c r="B33" s="10" t="s">
        <v>259</v>
      </c>
      <c r="C33" s="11">
        <v>897096.86</v>
      </c>
      <c r="D33" s="11">
        <v>826750.53</v>
      </c>
      <c r="E33" s="11">
        <v>2773387.7</v>
      </c>
      <c r="F33" s="11">
        <v>4497235.09</v>
      </c>
      <c r="H33" s="10" t="s">
        <v>209</v>
      </c>
      <c r="I33" s="11">
        <v>9294846.3699999992</v>
      </c>
      <c r="J33" s="11">
        <v>14361581.66</v>
      </c>
      <c r="K33" s="11">
        <v>14396412.59</v>
      </c>
      <c r="L33" s="11">
        <v>38052840.619999997</v>
      </c>
      <c r="N33" s="10" t="s">
        <v>209</v>
      </c>
      <c r="O33" s="11">
        <v>3578828.54</v>
      </c>
      <c r="P33" s="11">
        <v>5936976.8200000003</v>
      </c>
      <c r="Q33" s="11">
        <v>5946555.5099999998</v>
      </c>
      <c r="R33" s="11">
        <v>15462360.869999999</v>
      </c>
    </row>
    <row r="34" spans="2:19" x14ac:dyDescent="0.35">
      <c r="B34" s="10" t="s">
        <v>260</v>
      </c>
      <c r="C34" s="11">
        <v>1004462.19</v>
      </c>
      <c r="D34" s="11">
        <v>746366.26</v>
      </c>
      <c r="E34" s="11">
        <v>2828829.25</v>
      </c>
      <c r="F34" s="11">
        <v>4579657.7</v>
      </c>
      <c r="N34" s="10"/>
      <c r="O34" s="11"/>
      <c r="P34" s="11"/>
      <c r="Q34" s="11"/>
      <c r="R34" s="11"/>
    </row>
    <row r="35" spans="2:19" x14ac:dyDescent="0.35">
      <c r="B35" s="10" t="s">
        <v>261</v>
      </c>
      <c r="C35" s="11">
        <v>724540.79</v>
      </c>
      <c r="D35" s="11">
        <v>1238589.42</v>
      </c>
      <c r="E35" s="11"/>
      <c r="F35" s="11">
        <v>1963130.21</v>
      </c>
      <c r="H35" s="9" t="s">
        <v>247</v>
      </c>
      <c r="I35" s="9" t="s">
        <v>243</v>
      </c>
      <c r="N35" s="9" t="s">
        <v>253</v>
      </c>
      <c r="O35" s="9" t="s">
        <v>243</v>
      </c>
    </row>
    <row r="36" spans="2:19" x14ac:dyDescent="0.35">
      <c r="B36" s="10" t="s">
        <v>262</v>
      </c>
      <c r="C36" s="11">
        <v>796777.21</v>
      </c>
      <c r="D36" s="11">
        <v>1277559.24</v>
      </c>
      <c r="E36" s="11"/>
      <c r="F36" s="11">
        <v>2074336.45</v>
      </c>
      <c r="H36" s="9" t="s">
        <v>47</v>
      </c>
      <c r="I36">
        <v>2015</v>
      </c>
      <c r="J36">
        <v>2016</v>
      </c>
      <c r="K36">
        <v>2017</v>
      </c>
      <c r="L36" t="s">
        <v>209</v>
      </c>
      <c r="N36" s="9" t="s">
        <v>47</v>
      </c>
      <c r="O36">
        <v>2015</v>
      </c>
      <c r="P36">
        <v>2016</v>
      </c>
      <c r="Q36">
        <v>2017</v>
      </c>
      <c r="R36" t="s">
        <v>209</v>
      </c>
    </row>
    <row r="37" spans="2:19" x14ac:dyDescent="0.35">
      <c r="B37" s="10" t="s">
        <v>263</v>
      </c>
      <c r="C37" s="11">
        <v>514752.01</v>
      </c>
      <c r="D37" s="11">
        <v>1522159.71</v>
      </c>
      <c r="E37" s="11"/>
      <c r="F37" s="11">
        <v>2036911.72</v>
      </c>
      <c r="H37" s="10">
        <v>1</v>
      </c>
      <c r="I37" s="92">
        <v>808</v>
      </c>
      <c r="J37" s="92">
        <v>1132</v>
      </c>
      <c r="K37" s="92">
        <v>40921</v>
      </c>
      <c r="L37" s="92">
        <v>42861</v>
      </c>
      <c r="N37" s="10">
        <v>1</v>
      </c>
      <c r="O37" s="11">
        <v>1606136.96</v>
      </c>
      <c r="P37" s="11">
        <v>1192570.1100000001</v>
      </c>
      <c r="Q37" s="11">
        <v>3750379.71</v>
      </c>
      <c r="R37" s="11">
        <v>6549086.7800000003</v>
      </c>
    </row>
    <row r="38" spans="2:19" x14ac:dyDescent="0.35">
      <c r="B38" s="10" t="s">
        <v>264</v>
      </c>
      <c r="C38" s="11">
        <v>592524.56000000006</v>
      </c>
      <c r="D38" s="11">
        <v>1646295.03</v>
      </c>
      <c r="E38" s="11"/>
      <c r="F38" s="11">
        <v>2238819.59</v>
      </c>
      <c r="H38" s="10">
        <v>2</v>
      </c>
      <c r="I38" s="92">
        <v>871</v>
      </c>
      <c r="J38" s="92">
        <v>1367</v>
      </c>
      <c r="K38" s="92">
        <v>48143</v>
      </c>
      <c r="L38" s="92">
        <v>50381</v>
      </c>
      <c r="N38" s="10">
        <v>2</v>
      </c>
      <c r="O38" s="11">
        <v>1732776.59</v>
      </c>
      <c r="P38" s="11">
        <v>1351189.4</v>
      </c>
      <c r="Q38" s="11">
        <v>4699477.37</v>
      </c>
      <c r="R38" s="11">
        <v>7783443.3600000003</v>
      </c>
    </row>
    <row r="39" spans="2:19" x14ac:dyDescent="0.35">
      <c r="B39" s="10" t="s">
        <v>265</v>
      </c>
      <c r="C39" s="11">
        <v>485938.83</v>
      </c>
      <c r="D39" s="11">
        <v>1782069.26</v>
      </c>
      <c r="E39" s="11"/>
      <c r="F39" s="11">
        <v>2268008.09</v>
      </c>
      <c r="H39" s="10">
        <v>3</v>
      </c>
      <c r="I39" s="92">
        <v>1074</v>
      </c>
      <c r="J39" s="92">
        <v>26979</v>
      </c>
      <c r="K39" s="92"/>
      <c r="L39" s="92">
        <v>28053</v>
      </c>
      <c r="N39" s="10">
        <v>3</v>
      </c>
      <c r="O39" s="11">
        <v>1230587.77</v>
      </c>
      <c r="P39" s="11">
        <v>2358272.17</v>
      </c>
      <c r="Q39" s="11"/>
      <c r="R39" s="11">
        <v>3588859.94</v>
      </c>
    </row>
    <row r="40" spans="2:19" x14ac:dyDescent="0.35">
      <c r="B40" s="10" t="s">
        <v>266</v>
      </c>
      <c r="C40" s="11">
        <v>811825.93</v>
      </c>
      <c r="D40" s="11">
        <v>2590958.02</v>
      </c>
      <c r="E40" s="11"/>
      <c r="F40" s="11">
        <v>3402783.95</v>
      </c>
      <c r="H40" s="10">
        <v>4</v>
      </c>
      <c r="I40" s="92">
        <v>1086</v>
      </c>
      <c r="J40" s="92">
        <v>40250</v>
      </c>
      <c r="K40" s="92"/>
      <c r="L40" s="92">
        <v>41336</v>
      </c>
      <c r="N40" s="10">
        <v>4</v>
      </c>
      <c r="O40" s="11">
        <v>1146516.51</v>
      </c>
      <c r="P40" s="11">
        <v>3522573.16</v>
      </c>
      <c r="Q40" s="11"/>
      <c r="R40" s="11">
        <v>4669089.67</v>
      </c>
    </row>
    <row r="41" spans="2:19" x14ac:dyDescent="0.35">
      <c r="B41" s="10" t="s">
        <v>209</v>
      </c>
      <c r="C41" s="11">
        <v>9294846.3699999992</v>
      </c>
      <c r="D41" s="11">
        <v>14361581.66</v>
      </c>
      <c r="E41" s="11">
        <v>14396412.59</v>
      </c>
      <c r="F41" s="11">
        <v>38052840.619999997</v>
      </c>
      <c r="H41" s="10" t="s">
        <v>209</v>
      </c>
      <c r="I41" s="92">
        <v>3839</v>
      </c>
      <c r="J41" s="92">
        <v>69728</v>
      </c>
      <c r="K41" s="92">
        <v>89064</v>
      </c>
      <c r="L41" s="92">
        <v>162631</v>
      </c>
      <c r="N41" s="10" t="s">
        <v>209</v>
      </c>
      <c r="O41" s="11">
        <v>5716017.8300000001</v>
      </c>
      <c r="P41" s="11">
        <v>8424604.8399999999</v>
      </c>
      <c r="Q41" s="11">
        <v>8449857.0800000001</v>
      </c>
      <c r="R41" s="11">
        <v>22590479.75</v>
      </c>
    </row>
    <row r="42" spans="2:19" x14ac:dyDescent="0.35">
      <c r="B42" s="10"/>
      <c r="C42" s="11"/>
      <c r="D42" s="11"/>
      <c r="E42" s="11"/>
      <c r="F42" s="11"/>
      <c r="H42" s="10"/>
      <c r="I42" s="11"/>
      <c r="J42" s="11"/>
      <c r="K42" s="11"/>
      <c r="L42" s="11"/>
      <c r="N42" s="10"/>
      <c r="O42" s="11"/>
      <c r="P42" s="11"/>
      <c r="Q42" s="11"/>
      <c r="R42" s="11"/>
      <c r="S42" s="11"/>
    </row>
    <row r="44" spans="2:19" ht="21" x14ac:dyDescent="0.5">
      <c r="B44" s="30" t="s">
        <v>237</v>
      </c>
      <c r="N44" s="30" t="s">
        <v>246</v>
      </c>
    </row>
    <row r="45" spans="2:19" x14ac:dyDescent="0.35">
      <c r="N45" s="9" t="s">
        <v>247</v>
      </c>
      <c r="O45" s="9" t="s">
        <v>243</v>
      </c>
    </row>
    <row r="46" spans="2:19" x14ac:dyDescent="0.35">
      <c r="B46" s="9" t="s">
        <v>223</v>
      </c>
      <c r="C46" s="9" t="s">
        <v>243</v>
      </c>
      <c r="H46" s="9" t="s">
        <v>273</v>
      </c>
      <c r="I46" s="9" t="s">
        <v>243</v>
      </c>
      <c r="N46" s="9" t="s">
        <v>254</v>
      </c>
      <c r="O46">
        <v>2015</v>
      </c>
      <c r="P46">
        <v>2016</v>
      </c>
      <c r="Q46">
        <v>2017</v>
      </c>
      <c r="R46" t="s">
        <v>209</v>
      </c>
    </row>
    <row r="47" spans="2:19" x14ac:dyDescent="0.35">
      <c r="B47" s="9" t="s">
        <v>181</v>
      </c>
      <c r="C47">
        <v>2015</v>
      </c>
      <c r="D47">
        <v>2016</v>
      </c>
      <c r="E47">
        <v>2017</v>
      </c>
      <c r="F47" t="s">
        <v>209</v>
      </c>
      <c r="H47" s="9" t="s">
        <v>181</v>
      </c>
      <c r="I47">
        <v>2015</v>
      </c>
      <c r="J47">
        <v>2016</v>
      </c>
      <c r="K47">
        <v>2017</v>
      </c>
      <c r="L47" t="s">
        <v>209</v>
      </c>
      <c r="N47" s="10" t="s">
        <v>3</v>
      </c>
      <c r="O47" s="87"/>
      <c r="P47" s="87"/>
      <c r="Q47" s="87"/>
      <c r="R47" s="87"/>
    </row>
    <row r="48" spans="2:19" x14ac:dyDescent="0.35">
      <c r="B48" s="10" t="s">
        <v>166</v>
      </c>
      <c r="C48" s="11">
        <v>3077086.86</v>
      </c>
      <c r="D48" s="11">
        <v>4342825.29</v>
      </c>
      <c r="E48" s="11">
        <v>3749118.22</v>
      </c>
      <c r="F48" s="11">
        <v>11169030.369999999</v>
      </c>
      <c r="H48" s="10" t="s">
        <v>166</v>
      </c>
      <c r="I48" s="92">
        <v>1288</v>
      </c>
      <c r="J48" s="92">
        <v>15048</v>
      </c>
      <c r="K48" s="92">
        <v>19123</v>
      </c>
      <c r="L48" s="92">
        <v>35459</v>
      </c>
      <c r="N48" s="88" t="s">
        <v>103</v>
      </c>
      <c r="O48" s="87"/>
      <c r="P48" s="87">
        <v>553</v>
      </c>
      <c r="Q48" s="87">
        <v>523</v>
      </c>
      <c r="R48" s="87">
        <v>1076</v>
      </c>
    </row>
    <row r="49" spans="2:18" x14ac:dyDescent="0.35">
      <c r="B49" s="10" t="s">
        <v>171</v>
      </c>
      <c r="C49" s="11">
        <v>892377.42</v>
      </c>
      <c r="D49" s="11">
        <v>855104.93</v>
      </c>
      <c r="E49" s="11">
        <v>1033729.22</v>
      </c>
      <c r="F49" s="11">
        <v>2781211.57</v>
      </c>
      <c r="H49" s="10" t="s">
        <v>171</v>
      </c>
      <c r="I49" s="92">
        <v>340</v>
      </c>
      <c r="J49" s="92">
        <v>8853</v>
      </c>
      <c r="K49" s="92">
        <v>10922</v>
      </c>
      <c r="L49" s="92">
        <v>20115</v>
      </c>
      <c r="N49" s="88" t="s">
        <v>89</v>
      </c>
      <c r="O49" s="87"/>
      <c r="P49" s="87">
        <v>1645</v>
      </c>
      <c r="Q49" s="87">
        <v>2133</v>
      </c>
      <c r="R49" s="87">
        <v>3778</v>
      </c>
    </row>
    <row r="50" spans="2:18" x14ac:dyDescent="0.35">
      <c r="B50" s="10" t="s">
        <v>178</v>
      </c>
      <c r="C50" s="11"/>
      <c r="D50" s="11">
        <v>5280.3</v>
      </c>
      <c r="E50" s="11">
        <v>449.21</v>
      </c>
      <c r="F50" s="11">
        <v>5729.51</v>
      </c>
      <c r="H50" s="10" t="s">
        <v>178</v>
      </c>
      <c r="I50" s="92"/>
      <c r="J50" s="92">
        <v>30</v>
      </c>
      <c r="K50" s="92">
        <v>24</v>
      </c>
      <c r="L50" s="92">
        <v>54</v>
      </c>
      <c r="N50" s="88" t="s">
        <v>84</v>
      </c>
      <c r="O50" s="87"/>
      <c r="P50" s="87">
        <v>2388</v>
      </c>
      <c r="Q50" s="87">
        <v>3163</v>
      </c>
      <c r="R50" s="87">
        <v>5551</v>
      </c>
    </row>
    <row r="51" spans="2:18" x14ac:dyDescent="0.35">
      <c r="B51" s="10" t="s">
        <v>175</v>
      </c>
      <c r="C51" s="11">
        <v>730692.39</v>
      </c>
      <c r="D51" s="11">
        <v>1518273.06</v>
      </c>
      <c r="E51" s="11">
        <v>1345917.36</v>
      </c>
      <c r="F51" s="11">
        <v>3594882.81</v>
      </c>
      <c r="H51" s="10" t="s">
        <v>175</v>
      </c>
      <c r="I51" s="92">
        <v>346</v>
      </c>
      <c r="J51" s="92">
        <v>6740</v>
      </c>
      <c r="K51" s="92">
        <v>8667</v>
      </c>
      <c r="L51" s="92">
        <v>15753</v>
      </c>
      <c r="N51" s="88" t="s">
        <v>110</v>
      </c>
      <c r="O51" s="87"/>
      <c r="P51" s="87">
        <v>557</v>
      </c>
      <c r="Q51" s="87">
        <v>683</v>
      </c>
      <c r="R51" s="87">
        <v>1240</v>
      </c>
    </row>
    <row r="52" spans="2:18" x14ac:dyDescent="0.35">
      <c r="B52" s="10" t="s">
        <v>174</v>
      </c>
      <c r="C52" s="11">
        <v>700819.79</v>
      </c>
      <c r="D52" s="11">
        <v>1553172.58</v>
      </c>
      <c r="E52" s="11">
        <v>1599243.22</v>
      </c>
      <c r="F52" s="11">
        <v>3853235.59</v>
      </c>
      <c r="H52" s="10" t="s">
        <v>174</v>
      </c>
      <c r="I52" s="92">
        <v>336</v>
      </c>
      <c r="J52" s="92">
        <v>6611</v>
      </c>
      <c r="K52" s="92">
        <v>9062</v>
      </c>
      <c r="L52" s="92">
        <v>16009</v>
      </c>
      <c r="N52" s="88" t="s">
        <v>80</v>
      </c>
      <c r="O52" s="87"/>
      <c r="P52" s="87">
        <v>1509</v>
      </c>
      <c r="Q52" s="87">
        <v>2031</v>
      </c>
      <c r="R52" s="87">
        <v>3540</v>
      </c>
    </row>
    <row r="53" spans="2:18" x14ac:dyDescent="0.35">
      <c r="B53" s="10" t="s">
        <v>177</v>
      </c>
      <c r="C53" s="11"/>
      <c r="D53" s="11">
        <v>6259.15</v>
      </c>
      <c r="E53" s="11">
        <v>3024.07</v>
      </c>
      <c r="F53" s="11">
        <v>9283.2199999999993</v>
      </c>
      <c r="H53" s="10" t="s">
        <v>177</v>
      </c>
      <c r="I53" s="92"/>
      <c r="J53" s="92">
        <v>35</v>
      </c>
      <c r="K53" s="92">
        <v>47</v>
      </c>
      <c r="L53" s="92">
        <v>82</v>
      </c>
      <c r="N53" s="88" t="s">
        <v>79</v>
      </c>
      <c r="O53" s="87"/>
      <c r="P53" s="87">
        <v>997</v>
      </c>
      <c r="Q53" s="87">
        <v>1031</v>
      </c>
      <c r="R53" s="87">
        <v>2028</v>
      </c>
    </row>
    <row r="54" spans="2:18" x14ac:dyDescent="0.35">
      <c r="B54" s="10" t="s">
        <v>170</v>
      </c>
      <c r="C54" s="11">
        <v>1238920.75</v>
      </c>
      <c r="D54" s="11">
        <v>1623989.05</v>
      </c>
      <c r="E54" s="11">
        <v>1945431.56</v>
      </c>
      <c r="F54" s="11">
        <v>4808341.3600000003</v>
      </c>
      <c r="H54" s="10" t="s">
        <v>170</v>
      </c>
      <c r="I54" s="92">
        <v>504</v>
      </c>
      <c r="J54" s="92">
        <v>10350</v>
      </c>
      <c r="K54" s="92">
        <v>13506</v>
      </c>
      <c r="L54" s="92">
        <v>24360</v>
      </c>
      <c r="N54" s="88" t="s">
        <v>93</v>
      </c>
      <c r="O54" s="87"/>
      <c r="P54" s="87">
        <v>1281</v>
      </c>
      <c r="Q54" s="87">
        <v>1708</v>
      </c>
      <c r="R54" s="87">
        <v>2989</v>
      </c>
    </row>
    <row r="55" spans="2:18" x14ac:dyDescent="0.35">
      <c r="B55" s="10" t="s">
        <v>176</v>
      </c>
      <c r="C55" s="11">
        <v>1398.2</v>
      </c>
      <c r="D55" s="11">
        <v>3792.71</v>
      </c>
      <c r="E55" s="11">
        <v>15296.54</v>
      </c>
      <c r="F55" s="11">
        <v>20487.45</v>
      </c>
      <c r="H55" s="10" t="s">
        <v>176</v>
      </c>
      <c r="I55" s="92">
        <v>2</v>
      </c>
      <c r="J55" s="92">
        <v>18</v>
      </c>
      <c r="K55" s="92">
        <v>114</v>
      </c>
      <c r="L55" s="92">
        <v>134</v>
      </c>
      <c r="N55" s="88" t="s">
        <v>82</v>
      </c>
      <c r="O55" s="87"/>
      <c r="P55" s="87">
        <v>761</v>
      </c>
      <c r="Q55" s="87">
        <v>918</v>
      </c>
      <c r="R55" s="87">
        <v>1679</v>
      </c>
    </row>
    <row r="56" spans="2:18" x14ac:dyDescent="0.35">
      <c r="B56" s="10" t="s">
        <v>169</v>
      </c>
      <c r="C56" s="11">
        <v>1822671.51</v>
      </c>
      <c r="D56" s="11">
        <v>2594536.2200000002</v>
      </c>
      <c r="E56" s="11">
        <v>2992952.36</v>
      </c>
      <c r="F56" s="11">
        <v>7410160.0899999999</v>
      </c>
      <c r="H56" s="10" t="s">
        <v>169</v>
      </c>
      <c r="I56" s="92">
        <v>767</v>
      </c>
      <c r="J56" s="92">
        <v>14458</v>
      </c>
      <c r="K56" s="92">
        <v>18891</v>
      </c>
      <c r="L56" s="92">
        <v>34116</v>
      </c>
      <c r="N56" s="88" t="s">
        <v>83</v>
      </c>
      <c r="O56" s="87"/>
      <c r="P56" s="87">
        <v>1091</v>
      </c>
      <c r="Q56" s="87">
        <v>1316</v>
      </c>
      <c r="R56" s="87">
        <v>2407</v>
      </c>
    </row>
    <row r="57" spans="2:18" x14ac:dyDescent="0.35">
      <c r="B57" s="10" t="s">
        <v>173</v>
      </c>
      <c r="C57" s="11">
        <v>830879.45</v>
      </c>
      <c r="D57" s="11">
        <v>1858348.36</v>
      </c>
      <c r="E57" s="11">
        <v>1711250.85</v>
      </c>
      <c r="F57" s="11">
        <v>4400478.66</v>
      </c>
      <c r="H57" s="10" t="s">
        <v>173</v>
      </c>
      <c r="I57" s="92">
        <v>390</v>
      </c>
      <c r="J57" s="92">
        <v>8730</v>
      </c>
      <c r="K57" s="92">
        <v>10154</v>
      </c>
      <c r="L57" s="92">
        <v>19274</v>
      </c>
      <c r="N57" s="88" t="s">
        <v>91</v>
      </c>
      <c r="O57" s="87"/>
      <c r="P57" s="87">
        <v>1037</v>
      </c>
      <c r="Q57" s="87">
        <v>1263</v>
      </c>
      <c r="R57" s="87">
        <v>2300</v>
      </c>
    </row>
    <row r="58" spans="2:18" x14ac:dyDescent="0.35">
      <c r="B58" s="10" t="s">
        <v>209</v>
      </c>
      <c r="C58" s="11">
        <v>9294846.3699999992</v>
      </c>
      <c r="D58" s="11">
        <v>14361581.65</v>
      </c>
      <c r="E58" s="11">
        <v>14396412.609999999</v>
      </c>
      <c r="F58" s="11">
        <v>38052840.630000003</v>
      </c>
      <c r="H58" s="10" t="s">
        <v>209</v>
      </c>
      <c r="I58" s="92">
        <v>3973</v>
      </c>
      <c r="J58" s="92">
        <v>70873</v>
      </c>
      <c r="K58" s="92">
        <v>90510</v>
      </c>
      <c r="L58" s="92">
        <v>165356</v>
      </c>
      <c r="N58" s="88" t="s">
        <v>92</v>
      </c>
      <c r="O58" s="87"/>
      <c r="P58" s="87">
        <v>980</v>
      </c>
      <c r="Q58" s="87">
        <v>1309</v>
      </c>
      <c r="R58" s="87">
        <v>2289</v>
      </c>
    </row>
    <row r="59" spans="2:18" x14ac:dyDescent="0.35">
      <c r="N59" s="88" t="s">
        <v>66</v>
      </c>
      <c r="O59" s="87"/>
      <c r="P59" s="87">
        <v>2476</v>
      </c>
      <c r="Q59" s="87">
        <v>3508</v>
      </c>
      <c r="R59" s="87">
        <v>5984</v>
      </c>
    </row>
    <row r="60" spans="2:18" x14ac:dyDescent="0.35">
      <c r="B60" s="9" t="s">
        <v>272</v>
      </c>
      <c r="C60" s="9" t="s">
        <v>243</v>
      </c>
      <c r="H60" s="9" t="s">
        <v>274</v>
      </c>
      <c r="I60" s="9" t="s">
        <v>243</v>
      </c>
      <c r="N60" s="88" t="s">
        <v>65</v>
      </c>
      <c r="O60" s="87"/>
      <c r="P60" s="87">
        <v>3184</v>
      </c>
      <c r="Q60" s="87">
        <v>3894</v>
      </c>
      <c r="R60" s="87">
        <v>7078</v>
      </c>
    </row>
    <row r="61" spans="2:18" x14ac:dyDescent="0.35">
      <c r="B61" s="9" t="s">
        <v>181</v>
      </c>
      <c r="C61">
        <v>2015</v>
      </c>
      <c r="D61">
        <v>2016</v>
      </c>
      <c r="E61">
        <v>2017</v>
      </c>
      <c r="F61" t="s">
        <v>209</v>
      </c>
      <c r="H61" s="9" t="s">
        <v>181</v>
      </c>
      <c r="I61">
        <v>2015</v>
      </c>
      <c r="J61">
        <v>2016</v>
      </c>
      <c r="K61">
        <v>2017</v>
      </c>
      <c r="L61" t="s">
        <v>209</v>
      </c>
      <c r="N61" s="88" t="s">
        <v>67</v>
      </c>
      <c r="O61" s="87"/>
      <c r="P61" s="87">
        <v>5464</v>
      </c>
      <c r="Q61" s="87">
        <v>6517</v>
      </c>
      <c r="R61" s="87">
        <v>11981</v>
      </c>
    </row>
    <row r="62" spans="2:18" x14ac:dyDescent="0.35">
      <c r="B62" s="10" t="s">
        <v>166</v>
      </c>
      <c r="C62" s="92">
        <v>1235</v>
      </c>
      <c r="D62" s="92">
        <v>14804</v>
      </c>
      <c r="E62" s="92">
        <v>18820</v>
      </c>
      <c r="F62" s="92">
        <v>34859</v>
      </c>
      <c r="H62" s="10" t="s">
        <v>166</v>
      </c>
      <c r="I62" s="92">
        <v>53</v>
      </c>
      <c r="J62" s="92">
        <v>244</v>
      </c>
      <c r="K62" s="92">
        <v>303</v>
      </c>
      <c r="L62" s="92">
        <v>600</v>
      </c>
      <c r="N62" s="88" t="s">
        <v>74</v>
      </c>
      <c r="O62" s="87"/>
      <c r="P62" s="87">
        <v>2561</v>
      </c>
      <c r="Q62" s="87">
        <v>3655</v>
      </c>
      <c r="R62" s="87">
        <v>6216</v>
      </c>
    </row>
    <row r="63" spans="2:18" x14ac:dyDescent="0.35">
      <c r="B63" s="10" t="s">
        <v>171</v>
      </c>
      <c r="C63" s="92">
        <v>329</v>
      </c>
      <c r="D63" s="92">
        <v>8697</v>
      </c>
      <c r="E63" s="92">
        <v>10722</v>
      </c>
      <c r="F63" s="92">
        <v>19748</v>
      </c>
      <c r="H63" s="10" t="s">
        <v>171</v>
      </c>
      <c r="I63" s="92">
        <v>11</v>
      </c>
      <c r="J63" s="92">
        <v>156</v>
      </c>
      <c r="K63" s="92">
        <v>200</v>
      </c>
      <c r="L63" s="92">
        <v>367</v>
      </c>
      <c r="N63" s="88" t="s">
        <v>68</v>
      </c>
      <c r="O63" s="87"/>
      <c r="P63" s="87">
        <v>2554</v>
      </c>
      <c r="Q63" s="87">
        <v>3125</v>
      </c>
      <c r="R63" s="87">
        <v>5679</v>
      </c>
    </row>
    <row r="64" spans="2:18" x14ac:dyDescent="0.35">
      <c r="B64" s="10" t="s">
        <v>178</v>
      </c>
      <c r="C64" s="92"/>
      <c r="D64" s="92">
        <v>30</v>
      </c>
      <c r="E64" s="92">
        <v>24</v>
      </c>
      <c r="F64" s="92">
        <v>54</v>
      </c>
      <c r="H64" s="10" t="s">
        <v>178</v>
      </c>
      <c r="I64" s="92"/>
      <c r="J64" s="92">
        <v>0</v>
      </c>
      <c r="K64" s="92">
        <v>0</v>
      </c>
      <c r="L64" s="92">
        <v>0</v>
      </c>
      <c r="N64" s="88" t="s">
        <v>69</v>
      </c>
      <c r="O64" s="87"/>
      <c r="P64" s="87">
        <v>10676</v>
      </c>
      <c r="Q64" s="87">
        <v>14013</v>
      </c>
      <c r="R64" s="87">
        <v>24689</v>
      </c>
    </row>
    <row r="65" spans="2:18" x14ac:dyDescent="0.35">
      <c r="B65" s="10" t="s">
        <v>175</v>
      </c>
      <c r="C65" s="92">
        <v>340</v>
      </c>
      <c r="D65" s="92">
        <v>6636</v>
      </c>
      <c r="E65" s="92">
        <v>8499</v>
      </c>
      <c r="F65" s="92">
        <v>15475</v>
      </c>
      <c r="H65" s="10" t="s">
        <v>175</v>
      </c>
      <c r="I65" s="92">
        <v>6</v>
      </c>
      <c r="J65" s="92">
        <v>104</v>
      </c>
      <c r="K65" s="92">
        <v>168</v>
      </c>
      <c r="L65" s="92">
        <v>278</v>
      </c>
      <c r="N65" s="88" t="s">
        <v>98</v>
      </c>
      <c r="O65" s="87"/>
      <c r="P65" s="87">
        <v>794</v>
      </c>
      <c r="Q65" s="87">
        <v>1307</v>
      </c>
      <c r="R65" s="87">
        <v>2101</v>
      </c>
    </row>
    <row r="66" spans="2:18" x14ac:dyDescent="0.35">
      <c r="B66" s="10" t="s">
        <v>174</v>
      </c>
      <c r="C66" s="92">
        <v>314</v>
      </c>
      <c r="D66" s="92">
        <v>6510</v>
      </c>
      <c r="E66" s="92">
        <v>8939</v>
      </c>
      <c r="F66" s="92">
        <v>15763</v>
      </c>
      <c r="H66" s="10" t="s">
        <v>174</v>
      </c>
      <c r="I66" s="92">
        <v>22</v>
      </c>
      <c r="J66" s="92">
        <v>101</v>
      </c>
      <c r="K66" s="92">
        <v>123</v>
      </c>
      <c r="L66" s="92">
        <v>246</v>
      </c>
      <c r="N66" s="88" t="s">
        <v>81</v>
      </c>
      <c r="O66" s="87"/>
      <c r="P66" s="87">
        <v>1393</v>
      </c>
      <c r="Q66" s="87">
        <v>2016</v>
      </c>
      <c r="R66" s="87">
        <v>3409</v>
      </c>
    </row>
    <row r="67" spans="2:18" x14ac:dyDescent="0.35">
      <c r="B67" s="10" t="s">
        <v>177</v>
      </c>
      <c r="C67" s="92"/>
      <c r="D67" s="92">
        <v>35</v>
      </c>
      <c r="E67" s="92">
        <v>47</v>
      </c>
      <c r="F67" s="92">
        <v>82</v>
      </c>
      <c r="H67" s="10" t="s">
        <v>177</v>
      </c>
      <c r="I67" s="92"/>
      <c r="J67" s="92">
        <v>0</v>
      </c>
      <c r="K67" s="92">
        <v>0</v>
      </c>
      <c r="L67" s="92">
        <v>0</v>
      </c>
      <c r="N67" s="88" t="s">
        <v>64</v>
      </c>
      <c r="O67" s="87"/>
      <c r="P67" s="87">
        <v>5738</v>
      </c>
      <c r="Q67" s="87">
        <v>7756</v>
      </c>
      <c r="R67" s="87">
        <v>13494</v>
      </c>
    </row>
    <row r="68" spans="2:18" x14ac:dyDescent="0.35">
      <c r="B68" s="10" t="s">
        <v>170</v>
      </c>
      <c r="C68" s="92">
        <v>493</v>
      </c>
      <c r="D68" s="92">
        <v>10161</v>
      </c>
      <c r="E68" s="92">
        <v>13306</v>
      </c>
      <c r="F68" s="92">
        <v>23960</v>
      </c>
      <c r="H68" s="10" t="s">
        <v>170</v>
      </c>
      <c r="I68" s="92">
        <v>11</v>
      </c>
      <c r="J68" s="92">
        <v>189</v>
      </c>
      <c r="K68" s="92">
        <v>200</v>
      </c>
      <c r="L68" s="92">
        <v>400</v>
      </c>
      <c r="N68" s="10" t="s">
        <v>2</v>
      </c>
      <c r="O68" s="87"/>
      <c r="P68" s="87"/>
      <c r="Q68" s="87"/>
      <c r="R68" s="87"/>
    </row>
    <row r="69" spans="2:18" x14ac:dyDescent="0.35">
      <c r="B69" s="10" t="s">
        <v>176</v>
      </c>
      <c r="C69" s="92">
        <v>2</v>
      </c>
      <c r="D69" s="92">
        <v>18</v>
      </c>
      <c r="E69" s="92">
        <v>112</v>
      </c>
      <c r="F69" s="92">
        <v>132</v>
      </c>
      <c r="H69" s="10" t="s">
        <v>176</v>
      </c>
      <c r="I69" s="92">
        <v>0</v>
      </c>
      <c r="J69" s="92">
        <v>0</v>
      </c>
      <c r="K69" s="92">
        <v>2</v>
      </c>
      <c r="L69" s="92">
        <v>2</v>
      </c>
      <c r="N69" s="88" t="s">
        <v>61</v>
      </c>
      <c r="O69" s="87">
        <v>317</v>
      </c>
      <c r="P69" s="87"/>
      <c r="Q69" s="87"/>
      <c r="R69" s="87">
        <v>317</v>
      </c>
    </row>
    <row r="70" spans="2:18" x14ac:dyDescent="0.35">
      <c r="B70" s="10" t="s">
        <v>169</v>
      </c>
      <c r="C70" s="92">
        <v>747</v>
      </c>
      <c r="D70" s="92">
        <v>14247</v>
      </c>
      <c r="E70" s="92">
        <v>18591</v>
      </c>
      <c r="F70" s="92">
        <v>33585</v>
      </c>
      <c r="H70" s="10" t="s">
        <v>169</v>
      </c>
      <c r="I70" s="92">
        <v>20</v>
      </c>
      <c r="J70" s="92">
        <v>211</v>
      </c>
      <c r="K70" s="92">
        <v>300</v>
      </c>
      <c r="L70" s="92">
        <v>531</v>
      </c>
      <c r="N70" s="88" t="s">
        <v>58</v>
      </c>
      <c r="O70" s="87">
        <v>568</v>
      </c>
      <c r="P70" s="87">
        <v>2417</v>
      </c>
      <c r="Q70" s="87">
        <v>2110</v>
      </c>
      <c r="R70" s="87">
        <v>5095</v>
      </c>
    </row>
    <row r="71" spans="2:18" x14ac:dyDescent="0.35">
      <c r="B71" s="10" t="s">
        <v>173</v>
      </c>
      <c r="C71" s="92">
        <v>379</v>
      </c>
      <c r="D71" s="92">
        <v>8590</v>
      </c>
      <c r="E71" s="92">
        <v>10004</v>
      </c>
      <c r="F71" s="92">
        <v>18973</v>
      </c>
      <c r="H71" s="10" t="s">
        <v>173</v>
      </c>
      <c r="I71" s="92">
        <v>11</v>
      </c>
      <c r="J71" s="92">
        <v>140</v>
      </c>
      <c r="K71" s="92">
        <v>150</v>
      </c>
      <c r="L71" s="92">
        <v>301</v>
      </c>
      <c r="N71" s="88" t="s">
        <v>100</v>
      </c>
      <c r="O71" s="87"/>
      <c r="P71" s="87">
        <v>300</v>
      </c>
      <c r="Q71" s="87">
        <v>477</v>
      </c>
      <c r="R71" s="87">
        <v>777</v>
      </c>
    </row>
    <row r="72" spans="2:18" x14ac:dyDescent="0.35">
      <c r="B72" s="10" t="s">
        <v>209</v>
      </c>
      <c r="C72" s="92">
        <v>3839</v>
      </c>
      <c r="D72" s="92">
        <v>69728</v>
      </c>
      <c r="E72" s="92">
        <v>89064</v>
      </c>
      <c r="F72" s="92">
        <v>162631</v>
      </c>
      <c r="H72" s="10" t="s">
        <v>209</v>
      </c>
      <c r="I72" s="92">
        <v>134</v>
      </c>
      <c r="J72" s="92">
        <v>1145</v>
      </c>
      <c r="K72" s="92">
        <v>1446</v>
      </c>
      <c r="L72" s="92">
        <v>2725</v>
      </c>
      <c r="N72" s="88" t="s">
        <v>106</v>
      </c>
      <c r="O72" s="87"/>
      <c r="P72" s="87">
        <v>279</v>
      </c>
      <c r="Q72" s="87">
        <v>419</v>
      </c>
      <c r="R72" s="87">
        <v>698</v>
      </c>
    </row>
    <row r="73" spans="2:18" x14ac:dyDescent="0.35">
      <c r="N73" s="88" t="s">
        <v>53</v>
      </c>
      <c r="O73" s="87">
        <v>1161</v>
      </c>
      <c r="P73" s="87"/>
      <c r="Q73" s="87"/>
      <c r="R73" s="87">
        <v>1161</v>
      </c>
    </row>
    <row r="74" spans="2:18" x14ac:dyDescent="0.35">
      <c r="N74" s="88" t="s">
        <v>55</v>
      </c>
      <c r="O74" s="87">
        <v>1001</v>
      </c>
      <c r="P74" s="87">
        <v>1297</v>
      </c>
      <c r="Q74" s="87">
        <v>435</v>
      </c>
      <c r="R74" s="87">
        <v>2733</v>
      </c>
    </row>
    <row r="75" spans="2:18" x14ac:dyDescent="0.35">
      <c r="N75" s="88" t="s">
        <v>99</v>
      </c>
      <c r="O75" s="87"/>
      <c r="P75" s="87">
        <v>462</v>
      </c>
      <c r="Q75" s="87">
        <v>882</v>
      </c>
      <c r="R75" s="87">
        <v>1344</v>
      </c>
    </row>
    <row r="76" spans="2:18" x14ac:dyDescent="0.35">
      <c r="N76" s="88" t="s">
        <v>62</v>
      </c>
      <c r="O76" s="87">
        <v>218</v>
      </c>
      <c r="P76" s="87">
        <v>872</v>
      </c>
      <c r="Q76" s="87">
        <v>894</v>
      </c>
      <c r="R76" s="87">
        <v>1984</v>
      </c>
    </row>
    <row r="77" spans="2:18" x14ac:dyDescent="0.35">
      <c r="N77" s="88" t="s">
        <v>57</v>
      </c>
      <c r="O77" s="87">
        <v>574</v>
      </c>
      <c r="P77" s="87">
        <v>497</v>
      </c>
      <c r="Q77" s="87"/>
      <c r="R77" s="87">
        <v>1071</v>
      </c>
    </row>
    <row r="78" spans="2:18" x14ac:dyDescent="0.35">
      <c r="N78" s="88" t="s">
        <v>78</v>
      </c>
      <c r="O78" s="87"/>
      <c r="P78" s="87">
        <v>907</v>
      </c>
      <c r="Q78" s="87">
        <v>1235</v>
      </c>
      <c r="R78" s="87">
        <v>2142</v>
      </c>
    </row>
    <row r="79" spans="2:18" x14ac:dyDescent="0.35">
      <c r="N79" s="88" t="s">
        <v>101</v>
      </c>
      <c r="O79" s="87"/>
      <c r="P79" s="87">
        <v>667</v>
      </c>
      <c r="Q79" s="87">
        <v>1196</v>
      </c>
      <c r="R79" s="87">
        <v>1863</v>
      </c>
    </row>
    <row r="80" spans="2:18" x14ac:dyDescent="0.35">
      <c r="N80" s="88" t="s">
        <v>105</v>
      </c>
      <c r="O80" s="87"/>
      <c r="P80" s="87">
        <v>253</v>
      </c>
      <c r="Q80" s="87">
        <v>290</v>
      </c>
      <c r="R80" s="87">
        <v>543</v>
      </c>
    </row>
    <row r="81" spans="2:18" x14ac:dyDescent="0.35">
      <c r="N81" s="88" t="s">
        <v>109</v>
      </c>
      <c r="O81" s="87"/>
      <c r="P81" s="87">
        <v>331</v>
      </c>
      <c r="Q81" s="87">
        <v>463</v>
      </c>
      <c r="R81" s="87">
        <v>794</v>
      </c>
    </row>
    <row r="82" spans="2:18" x14ac:dyDescent="0.35">
      <c r="N82" s="10" t="s">
        <v>21</v>
      </c>
      <c r="O82" s="87"/>
      <c r="P82" s="87"/>
      <c r="Q82" s="87"/>
      <c r="R82" s="87"/>
    </row>
    <row r="83" spans="2:18" x14ac:dyDescent="0.35">
      <c r="N83" s="88" t="s">
        <v>107</v>
      </c>
      <c r="O83" s="87"/>
      <c r="P83" s="87">
        <v>851</v>
      </c>
      <c r="Q83" s="87">
        <v>1261</v>
      </c>
      <c r="R83" s="87">
        <v>2112</v>
      </c>
    </row>
    <row r="84" spans="2:18" x14ac:dyDescent="0.35">
      <c r="N84" s="88" t="s">
        <v>75</v>
      </c>
      <c r="O84" s="87"/>
      <c r="P84" s="87">
        <v>3362</v>
      </c>
      <c r="Q84" s="87">
        <v>4899</v>
      </c>
      <c r="R84" s="87">
        <v>8261</v>
      </c>
    </row>
    <row r="85" spans="2:18" x14ac:dyDescent="0.35">
      <c r="N85" s="88" t="s">
        <v>76</v>
      </c>
      <c r="O85" s="87"/>
      <c r="P85" s="87">
        <v>2446</v>
      </c>
      <c r="Q85" s="87">
        <v>3446</v>
      </c>
      <c r="R85" s="87">
        <v>5892</v>
      </c>
    </row>
    <row r="86" spans="2:18" x14ac:dyDescent="0.35">
      <c r="N86" s="88" t="s">
        <v>71</v>
      </c>
      <c r="O86" s="87"/>
      <c r="P86" s="87">
        <v>2703</v>
      </c>
      <c r="Q86" s="87">
        <v>3707</v>
      </c>
      <c r="R86" s="87">
        <v>6410</v>
      </c>
    </row>
    <row r="87" spans="2:18" x14ac:dyDescent="0.35">
      <c r="B87" s="10"/>
      <c r="N87" s="88" t="s">
        <v>95</v>
      </c>
      <c r="O87" s="87"/>
      <c r="P87" s="87">
        <v>1013</v>
      </c>
      <c r="Q87" s="87">
        <v>1158</v>
      </c>
      <c r="R87" s="87">
        <v>2171</v>
      </c>
    </row>
    <row r="88" spans="2:18" x14ac:dyDescent="0.35">
      <c r="N88" s="88" t="s">
        <v>86</v>
      </c>
      <c r="O88" s="87"/>
      <c r="P88" s="87">
        <v>2635</v>
      </c>
      <c r="Q88" s="87">
        <v>3326</v>
      </c>
      <c r="R88" s="87">
        <v>5961</v>
      </c>
    </row>
    <row r="89" spans="2:18" x14ac:dyDescent="0.35">
      <c r="N89" s="88" t="s">
        <v>87</v>
      </c>
      <c r="O89" s="87"/>
      <c r="P89" s="87">
        <v>797</v>
      </c>
      <c r="Q89" s="87">
        <v>997</v>
      </c>
      <c r="R89" s="87">
        <v>1794</v>
      </c>
    </row>
    <row r="90" spans="2:18" x14ac:dyDescent="0.35">
      <c r="N90" s="10" t="s">
        <v>209</v>
      </c>
      <c r="O90" s="87">
        <v>3839</v>
      </c>
      <c r="P90" s="87">
        <v>69728</v>
      </c>
      <c r="Q90" s="87">
        <v>89064</v>
      </c>
      <c r="R90" s="87">
        <v>162631</v>
      </c>
    </row>
  </sheetData>
  <phoneticPr fontId="11" type="noConversion"/>
  <pageMargins left="0.7" right="0.7" top="0.75" bottom="0.75" header="0.3" footer="0.3"/>
  <drawing r:id="rId24"/>
  <tableParts count="2">
    <tablePart r:id="rId25"/>
    <tablePart r:id="rId26"/>
  </tableParts>
  <extLst>
    <ext xmlns:x14="http://schemas.microsoft.com/office/spreadsheetml/2009/9/main" uri="{A8765BA9-456A-4dab-B4F3-ACF838C121DE}">
      <x14:slicerList>
        <x14:slicer r:id="rId2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F1E6-DEAC-4175-84A1-4DE78FAD133C}">
  <sheetPr>
    <tabColor rgb="FF232C7B"/>
  </sheetPr>
  <dimension ref="A1:A18"/>
  <sheetViews>
    <sheetView showGridLines="0" tabSelected="1" zoomScale="50" zoomScaleNormal="52" workbookViewId="0">
      <selection activeCell="AG7" sqref="AG7"/>
    </sheetView>
  </sheetViews>
  <sheetFormatPr defaultRowHeight="14.5" x14ac:dyDescent="0.35"/>
  <cols>
    <col min="1" max="16384" width="8.7265625" style="29"/>
  </cols>
  <sheetData>
    <row r="1" s="29" customFormat="1" x14ac:dyDescent="0.35"/>
    <row r="15" s="29" customFormat="1" x14ac:dyDescent="0.35"/>
    <row r="17" s="29" customFormat="1" x14ac:dyDescent="0.35"/>
    <row r="18" s="29"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8909A05-BB0B-4672-858D-9C2C5DF2C6DF}">
  <ds:schemaRefs/>
</ds:datastoreItem>
</file>

<file path=customXml/itemProps2.xml><?xml version="1.0" encoding="utf-8"?>
<ds:datastoreItem xmlns:ds="http://schemas.openxmlformats.org/officeDocument/2006/customXml" ds:itemID="{045E14E9-A048-4900-8D37-C5BE83AF7DA3}">
  <ds:schemaRefs/>
</ds:datastoreItem>
</file>

<file path=customXml/itemProps3.xml><?xml version="1.0" encoding="utf-8"?>
<ds:datastoreItem xmlns:ds="http://schemas.openxmlformats.org/officeDocument/2006/customXml" ds:itemID="{7C03EA0C-ED21-4902-B11C-E2D4C40F171A}">
  <ds:schemaRefs/>
</ds:datastoreItem>
</file>

<file path=customXml/itemProps4.xml><?xml version="1.0" encoding="utf-8"?>
<ds:datastoreItem xmlns:ds="http://schemas.openxmlformats.org/officeDocument/2006/customXml" ds:itemID="{A97D5CB2-B96B-4948-9514-32814907BA0B}">
  <ds:schemaRefs/>
</ds:datastoreItem>
</file>

<file path=customXml/itemProps5.xml><?xml version="1.0" encoding="utf-8"?>
<ds:datastoreItem xmlns:ds="http://schemas.openxmlformats.org/officeDocument/2006/customXml" ds:itemID="{54D4DE27-53FE-4D57-980B-9C059B3EE9CD}">
  <ds:schemaRefs/>
</ds:datastoreItem>
</file>

<file path=customXml/itemProps6.xml><?xml version="1.0" encoding="utf-8"?>
<ds:datastoreItem xmlns:ds="http://schemas.openxmlformats.org/officeDocument/2006/customXml" ds:itemID="{BD105312-2059-41E8-9931-E608785DC150}">
  <ds:schemaRefs/>
</ds:datastoreItem>
</file>

<file path=customXml/itemProps7.xml><?xml version="1.0" encoding="utf-8"?>
<ds:datastoreItem xmlns:ds="http://schemas.openxmlformats.org/officeDocument/2006/customXml" ds:itemID="{7941EE8A-1F59-4236-B9F7-77FC0B7A6EE7}">
  <ds:schemaRefs/>
</ds:datastoreItem>
</file>

<file path=customXml/itemProps8.xml><?xml version="1.0" encoding="utf-8"?>
<ds:datastoreItem xmlns:ds="http://schemas.openxmlformats.org/officeDocument/2006/customXml" ds:itemID="{C2649945-EE77-4055-8CFD-227B0FB268ED}">
  <ds:schemaRefs/>
</ds:datastoreItem>
</file>

<file path=customXml/itemProps9.xml><?xml version="1.0" encoding="utf-8"?>
<ds:datastoreItem xmlns:ds="http://schemas.openxmlformats.org/officeDocument/2006/customXml" ds:itemID="{1C7CCBCC-1F67-490F-96B3-3F28CD97D18A}">
  <ds:schemaRefs/>
</ds:datastoreItem>
</file>

<file path=customXml/itemProps10.xml><?xml version="1.0" encoding="utf-8"?>
<ds:datastoreItem xmlns:ds="http://schemas.openxmlformats.org/officeDocument/2006/customXml" ds:itemID="{B76AD37D-F5F0-47F3-88AF-FF5CEA2B92EF}">
  <ds:schemaRefs/>
</ds:datastoreItem>
</file>

<file path=customXml/itemProps11.xml><?xml version="1.0" encoding="utf-8"?>
<ds:datastoreItem xmlns:ds="http://schemas.openxmlformats.org/officeDocument/2006/customXml" ds:itemID="{8F8F85B1-13C5-42C8-902B-08299E3A9C23}">
  <ds:schemaRefs/>
</ds:datastoreItem>
</file>

<file path=customXml/itemProps12.xml><?xml version="1.0" encoding="utf-8"?>
<ds:datastoreItem xmlns:ds="http://schemas.openxmlformats.org/officeDocument/2006/customXml" ds:itemID="{F6E9607B-7DE8-4553-8017-E33FEAE8CE3C}">
  <ds:schemaRefs/>
</ds:datastoreItem>
</file>

<file path=customXml/itemProps13.xml><?xml version="1.0" encoding="utf-8"?>
<ds:datastoreItem xmlns:ds="http://schemas.openxmlformats.org/officeDocument/2006/customXml" ds:itemID="{3F16C90A-3EC8-4E22-80F4-C82004611002}">
  <ds:schemaRefs/>
</ds:datastoreItem>
</file>

<file path=customXml/itemProps14.xml><?xml version="1.0" encoding="utf-8"?>
<ds:datastoreItem xmlns:ds="http://schemas.openxmlformats.org/officeDocument/2006/customXml" ds:itemID="{9BCE73C1-FF2C-4310-BDCD-B7E8B6338B35}">
  <ds:schemaRefs/>
</ds:datastoreItem>
</file>

<file path=customXml/itemProps15.xml><?xml version="1.0" encoding="utf-8"?>
<ds:datastoreItem xmlns:ds="http://schemas.openxmlformats.org/officeDocument/2006/customXml" ds:itemID="{D86A942A-DFCA-4B81-B8A1-02E2067F3D04}">
  <ds:schemaRefs/>
</ds:datastoreItem>
</file>

<file path=customXml/itemProps16.xml><?xml version="1.0" encoding="utf-8"?>
<ds:datastoreItem xmlns:ds="http://schemas.openxmlformats.org/officeDocument/2006/customXml" ds:itemID="{360575B0-5C8B-4BA0-9274-55734B3AC861}">
  <ds:schemaRefs/>
</ds:datastoreItem>
</file>

<file path=customXml/itemProps17.xml><?xml version="1.0" encoding="utf-8"?>
<ds:datastoreItem xmlns:ds="http://schemas.openxmlformats.org/officeDocument/2006/customXml" ds:itemID="{1D2C94B2-E5BF-4771-B11C-AD5E9CA7BC57}">
  <ds:schemaRefs/>
</ds:datastoreItem>
</file>

<file path=customXml/itemProps18.xml><?xml version="1.0" encoding="utf-8"?>
<ds:datastoreItem xmlns:ds="http://schemas.openxmlformats.org/officeDocument/2006/customXml" ds:itemID="{F03E19DB-FD22-40F2-BB5C-53211814AB0B}">
  <ds:schemaRefs/>
</ds:datastoreItem>
</file>

<file path=customXml/itemProps19.xml><?xml version="1.0" encoding="utf-8"?>
<ds:datastoreItem xmlns:ds="http://schemas.openxmlformats.org/officeDocument/2006/customXml" ds:itemID="{3893073A-D2CB-4F9B-A1A4-EDE73E29707E}">
  <ds:schemaRefs/>
</ds:datastoreItem>
</file>

<file path=customXml/itemProps20.xml><?xml version="1.0" encoding="utf-8"?>
<ds:datastoreItem xmlns:ds="http://schemas.openxmlformats.org/officeDocument/2006/customXml" ds:itemID="{433805B9-6B9C-4A9B-B59C-0D0B454A6047}">
  <ds:schemaRefs/>
</ds:datastoreItem>
</file>

<file path=customXml/itemProps21.xml><?xml version="1.0" encoding="utf-8"?>
<ds:datastoreItem xmlns:ds="http://schemas.openxmlformats.org/officeDocument/2006/customXml" ds:itemID="{F96FA7FE-C3B7-4294-9514-3DE1843162B3}">
  <ds:schemaRefs/>
</ds:datastoreItem>
</file>

<file path=customXml/itemProps22.xml><?xml version="1.0" encoding="utf-8"?>
<ds:datastoreItem xmlns:ds="http://schemas.openxmlformats.org/officeDocument/2006/customXml" ds:itemID="{E12E2324-F662-45F3-A6AB-BBCD34B5089F}">
  <ds:schemaRefs/>
</ds:datastoreItem>
</file>

<file path=customXml/itemProps23.xml><?xml version="1.0" encoding="utf-8"?>
<ds:datastoreItem xmlns:ds="http://schemas.openxmlformats.org/officeDocument/2006/customXml" ds:itemID="{5820A80F-4E06-4634-8EC9-2C5BF326B2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Tables for Analysis</vt:lpstr>
      <vt:lpstr>Sheet1</vt:lpstr>
      <vt:lpstr>Calculations</vt:lpstr>
      <vt:lpstr>Dashboard</vt:lpstr>
      <vt:lpstr>cost</vt:lpstr>
      <vt:lpstr>profit</vt:lpstr>
      <vt:lpstr>quant</vt:lpstr>
      <vt:lpstr>Quantity</vt:lpstr>
      <vt:lpstr>rev</vt:lpstr>
      <vt:lpstr>Sales</vt:lpstr>
      <vt:lpstr>YOY15_16</vt:lpstr>
      <vt:lpstr>YOY16_17</vt:lpstr>
      <vt:lpstr>YOYC15_16</vt:lpstr>
      <vt:lpstr>YOYC16_17</vt:lpstr>
      <vt:lpstr>YOYP15_16</vt:lpstr>
      <vt:lpstr>YOYP16_17</vt:lpstr>
      <vt:lpstr>YOYQ15_16</vt:lpstr>
      <vt:lpstr>YOYQ16_17</vt:lpstr>
      <vt:lpstr>YOYS15_16</vt:lpstr>
      <vt:lpstr>YOYS16_17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pragati swain</cp:lastModifiedBy>
  <dcterms:created xsi:type="dcterms:W3CDTF">2015-06-05T18:17:20Z</dcterms:created>
  <dcterms:modified xsi:type="dcterms:W3CDTF">2025-11-08T14:41:05Z</dcterms:modified>
</cp:coreProperties>
</file>